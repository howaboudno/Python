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4"/>
    <sheet state="visible" name="Scoreboard" sheetId="2" r:id="rId5"/>
    <sheet state="visible" name="Group matches" sheetId="3" r:id="rId6"/>
    <sheet state="visible" name="SETUP" sheetId="4" r:id="rId7"/>
  </sheets>
  <externalReferences>
    <externalReference r:id="rId8"/>
  </externalReferences>
  <definedNames>
    <definedName name="BestPlayer">'[1]Best Player | Top Scorer Table'!$C$7:$C$57</definedName>
    <definedName name="KOGameRule">'[1]Game Setup'!$A$15</definedName>
    <definedName name="KOMatchRule">'[1]Game Setup'!$A$16</definedName>
    <definedName name="QualifiedCountries">'[1]Dummy Table'!$DW$18:$DW$33</definedName>
    <definedName name="TopScorer">'[1]Best Player | Top Scorer Table'!$F$7:$F$57</definedName>
  </definedNames>
  <calcPr/>
  <extLst>
    <ext uri="GoogleSheetsCustomDataVersion2">
      <go:sheetsCustomData xmlns:go="http://customooxmlschemas.google.com/" r:id="rId9" roundtripDataChecksum="QDqvFBMznUpUSDQUcONDtADOdf3mBL5nBfWo4+tgRLk="/>
    </ext>
  </extLst>
</workbook>
</file>

<file path=xl/sharedStrings.xml><?xml version="1.0" encoding="utf-8"?>
<sst xmlns="http://schemas.openxmlformats.org/spreadsheetml/2006/main" count="2504" uniqueCount="179">
  <si>
    <t>TOURNAMENT ACTUAL RESULT</t>
  </si>
  <si>
    <t>PLAYER PREDICTION BOARD</t>
  </si>
  <si>
    <t>Name</t>
  </si>
  <si>
    <t>Aboud</t>
  </si>
  <si>
    <t>TOTAL</t>
  </si>
  <si>
    <t>POINT</t>
  </si>
  <si>
    <t>BONUS</t>
  </si>
  <si>
    <t>Ivan</t>
  </si>
  <si>
    <t>Gosia</t>
  </si>
  <si>
    <t>Antoine</t>
  </si>
  <si>
    <t>Ridon</t>
  </si>
  <si>
    <t>Petey gay</t>
  </si>
  <si>
    <t>Alex</t>
  </si>
  <si>
    <t>Elyas</t>
  </si>
  <si>
    <t>[NAME]</t>
  </si>
  <si>
    <t>M#</t>
  </si>
  <si>
    <t>Group</t>
  </si>
  <si>
    <t>Country</t>
  </si>
  <si>
    <t>Score</t>
  </si>
  <si>
    <t>GROUP STAGES</t>
  </si>
  <si>
    <t>Result Bonus</t>
  </si>
  <si>
    <t>A</t>
  </si>
  <si>
    <t>Mexico</t>
  </si>
  <si>
    <t>South Africa</t>
  </si>
  <si>
    <t>South Korea</t>
  </si>
  <si>
    <t>Czech Republic</t>
  </si>
  <si>
    <t>B</t>
  </si>
  <si>
    <t>Canada</t>
  </si>
  <si>
    <t>Bosnia &amp; Herz.</t>
  </si>
  <si>
    <t>D</t>
  </si>
  <si>
    <t>United States</t>
  </si>
  <si>
    <t>Paraguay</t>
  </si>
  <si>
    <t>C</t>
  </si>
  <si>
    <t>Haiti</t>
  </si>
  <si>
    <t>Scotland</t>
  </si>
  <si>
    <t>Australia</t>
  </si>
  <si>
    <t>Türkiye</t>
  </si>
  <si>
    <t>Brazil</t>
  </si>
  <si>
    <t>Morocco</t>
  </si>
  <si>
    <t>Qatar</t>
  </si>
  <si>
    <t>Switzerland</t>
  </si>
  <si>
    <t>E</t>
  </si>
  <si>
    <t>Ivory Coast</t>
  </si>
  <si>
    <t>Ecuador</t>
  </si>
  <si>
    <t>Germany</t>
  </si>
  <si>
    <t>Curaçao</t>
  </si>
  <si>
    <t>F</t>
  </si>
  <si>
    <t>Netherlands</t>
  </si>
  <si>
    <t>Japan</t>
  </si>
  <si>
    <t>Sweden</t>
  </si>
  <si>
    <t>Tunisia</t>
  </si>
  <si>
    <t>G</t>
  </si>
  <si>
    <t>Belgium</t>
  </si>
  <si>
    <t>Egypt</t>
  </si>
  <si>
    <t>Iran</t>
  </si>
  <si>
    <t>New Zealand</t>
  </si>
  <si>
    <t>H</t>
  </si>
  <si>
    <t>Spain</t>
  </si>
  <si>
    <t>Cape Verde</t>
  </si>
  <si>
    <t>Saudi Arabia</t>
  </si>
  <si>
    <t>Uruguay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</si>
  <si>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</si>
  <si>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</si>
  <si>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</si>
  <si>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</si>
  <si>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</si>
  <si>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</si>
  <si>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</si>
  <si>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</si>
  <si>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</si>
  <si>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</si>
  <si>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</si>
  <si>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</si>
  <si>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</si>
  <si>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Uzbekistan</t>
  </si>
  <si>
    <t>Colombia</t>
  </si>
  <si>
    <t>L</t>
  </si>
  <si>
    <t>England</t>
  </si>
  <si>
    <t>Croatia</t>
  </si>
  <si>
    <t>Ghana</t>
  </si>
  <si>
    <t>Panama</t>
  </si>
  <si>
    <t>KNOCK OUT ROUNDS</t>
  </si>
  <si>
    <t>QUALIFIED COUNTRIES</t>
  </si>
  <si>
    <t>Winner</t>
  </si>
  <si>
    <t>Runner Up</t>
  </si>
  <si>
    <t>Third Place</t>
  </si>
  <si>
    <t>Czech</t>
  </si>
  <si>
    <t>Czechia</t>
  </si>
  <si>
    <t>Korea</t>
  </si>
  <si>
    <t>South korea</t>
  </si>
  <si>
    <t>bosnia</t>
  </si>
  <si>
    <t>Bosnia</t>
  </si>
  <si>
    <t>BiH</t>
  </si>
  <si>
    <t>Swotzerland</t>
  </si>
  <si>
    <t>Schotland</t>
  </si>
  <si>
    <t>Turkey</t>
  </si>
  <si>
    <t>USA</t>
  </si>
  <si>
    <t>Turkije</t>
  </si>
  <si>
    <t>United states</t>
  </si>
  <si>
    <t>Australiq</t>
  </si>
  <si>
    <t xml:space="preserve">Germany </t>
  </si>
  <si>
    <t>Cote dIvoire</t>
  </si>
  <si>
    <t>Curacao</t>
  </si>
  <si>
    <t xml:space="preserve">Ivory Coast </t>
  </si>
  <si>
    <t>Nederland</t>
  </si>
  <si>
    <t xml:space="preserve">Netherlands </t>
  </si>
  <si>
    <t xml:space="preserve"> Netherlands</t>
  </si>
  <si>
    <t>Belgie</t>
  </si>
  <si>
    <t>New zeeland</t>
  </si>
  <si>
    <t>Saudi</t>
  </si>
  <si>
    <t>Saudi Arabie</t>
  </si>
  <si>
    <t>Urugay</t>
  </si>
  <si>
    <t>Saudi arab</t>
  </si>
  <si>
    <t>Saudi ara</t>
  </si>
  <si>
    <t xml:space="preserve">Norway </t>
  </si>
  <si>
    <t>Senengal</t>
  </si>
  <si>
    <t xml:space="preserve">Algeria </t>
  </si>
  <si>
    <t>Austra</t>
  </si>
  <si>
    <t>Argentin</t>
  </si>
  <si>
    <t>Alergia</t>
  </si>
  <si>
    <t>Congo</t>
  </si>
  <si>
    <t>Portgual</t>
  </si>
  <si>
    <t>Doctor Congo</t>
  </si>
  <si>
    <t>Porntugal</t>
  </si>
  <si>
    <t>Dr. Congo</t>
  </si>
  <si>
    <t>Dr Congo</t>
  </si>
  <si>
    <t xml:space="preserve">Croatia </t>
  </si>
  <si>
    <t xml:space="preserve">Ghana </t>
  </si>
  <si>
    <t>CGhana</t>
  </si>
  <si>
    <t>Engeland</t>
  </si>
  <si>
    <t>Correct Qualified Countries Prediction _x0084_</t>
  </si>
  <si>
    <t>Italy</t>
  </si>
  <si>
    <t>PK</t>
  </si>
  <si>
    <t>Ukraine</t>
  </si>
  <si>
    <t>R32</t>
  </si>
  <si>
    <t>R16</t>
  </si>
  <si>
    <t>Russia</t>
  </si>
  <si>
    <t>Poland</t>
  </si>
  <si>
    <t>QF</t>
  </si>
  <si>
    <t>SF</t>
  </si>
  <si>
    <t>CHAMPION</t>
  </si>
  <si>
    <t>TOP SCORER</t>
  </si>
  <si>
    <t>Haaland</t>
  </si>
  <si>
    <t>Yamal</t>
  </si>
  <si>
    <t>Ronaldo</t>
  </si>
  <si>
    <t>Olise</t>
  </si>
  <si>
    <t>Points</t>
  </si>
  <si>
    <t>Antonio</t>
  </si>
  <si>
    <t>Pieter</t>
  </si>
  <si>
    <t>MD</t>
  </si>
  <si>
    <t>Date</t>
  </si>
  <si>
    <t>Country 1</t>
  </si>
  <si>
    <t>Country 2</t>
  </si>
  <si>
    <t>EURO 2024 PREDICTOR GAME</t>
  </si>
  <si>
    <t>GROUP STAGES Point System</t>
  </si>
  <si>
    <t>PREDICTED CORRECTLY</t>
  </si>
  <si>
    <t>Match Result and Goal Scores</t>
  </si>
  <si>
    <t>Total points possible</t>
  </si>
  <si>
    <t>Match Result only</t>
  </si>
  <si>
    <t>Everything wrong</t>
  </si>
  <si>
    <t>Group Winner</t>
  </si>
  <si>
    <t>Group Runner-up</t>
  </si>
  <si>
    <t>240 points for all groups correct</t>
  </si>
  <si>
    <t>Group Third Place</t>
  </si>
  <si>
    <t>Perfect Group</t>
  </si>
  <si>
    <t>+8</t>
  </si>
  <si>
    <t>KNOCK OUT ROUNDS Point System</t>
  </si>
  <si>
    <t>PREDICTED CORRECTLY in FULL TIME (NORMAL TIME + EXTRA TIME)</t>
  </si>
  <si>
    <t>ROUND OF 16</t>
  </si>
  <si>
    <t>QUARTER FINAL</t>
  </si>
  <si>
    <t>SEMI FINAL</t>
  </si>
  <si>
    <t>FINAL</t>
  </si>
  <si>
    <t>Each KO stage can provide up to 96 points</t>
  </si>
  <si>
    <t>Match Result and Goal Differences (when predicting a draw, GD points are given)</t>
  </si>
  <si>
    <t>Predicting everything correctly earns you 384 points</t>
  </si>
  <si>
    <t>Match Result Only (GD does not apply to penalty shoutouts)</t>
  </si>
  <si>
    <r>
      <rPr>
        <rFont val="Calibri"/>
        <color rgb="FFFF0000"/>
        <sz val="11.0"/>
      </rPr>
      <t xml:space="preserve">Predicting team A to win will also grant you the </t>
    </r>
    <r>
      <rPr>
        <rFont val="Calibri"/>
        <i/>
        <color rgb="FFFF0000"/>
        <sz val="11.0"/>
      </rPr>
      <t xml:space="preserve">Match Result Only </t>
    </r>
    <r>
      <rPr>
        <rFont val="Calibri"/>
        <color rgb="FFFF0000"/>
        <sz val="11.0"/>
      </rPr>
      <t>points if team A wins on penalties</t>
    </r>
  </si>
  <si>
    <t>Correct penalty scores</t>
  </si>
  <si>
    <t>Top Scorer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</si>
</sst>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\(0\)"/>
    <numFmt numFmtId="165" formatCode="yyyy-mm-dd"/>
  </numFmts>
  <fonts count="26">
    <font>
      <sz val="11.0"/>
      <color theme="1"/>
      <name val="Calibri"/>
      <scheme val="minor"/>
    </font>
    <font>
      <b/>
      <sz val="18.0"/>
      <color theme="0"/>
      <name val="Calibri"/>
    </font>
    <font/>
    <font>
      <sz val="11.0"/>
      <color theme="0"/>
      <name val="Calibri"/>
    </font>
    <font>
      <b/>
      <sz val="18.0"/>
      <color rgb="FFFFFFFF"/>
      <name val="Calibri"/>
    </font>
    <font>
      <sz val="11.0"/>
      <color theme="1"/>
      <name val="Calibri"/>
    </font>
    <font>
      <b/>
      <sz val="11.0"/>
      <color rgb="FFFFFFFF"/>
      <name val="Calibri"/>
    </font>
    <font>
      <sz val="9.0"/>
      <color theme="0"/>
      <name val="Calibri"/>
    </font>
    <font>
      <sz val="9.0"/>
      <color rgb="FFFFFFFF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sz val="8.0"/>
      <color theme="1"/>
      <name val="Calibri"/>
    </font>
    <font>
      <sz val="11.0"/>
      <color rgb="FFFFFFFF"/>
      <name val="Calibri"/>
    </font>
    <font>
      <sz val="11.0"/>
      <color rgb="FFECECEC"/>
      <name val="Calibri"/>
    </font>
    <font>
      <sz val="11.0"/>
      <color rgb="FF0000FF"/>
      <name val="Calibri"/>
    </font>
    <font>
      <sz val="11.0"/>
      <color rgb="FF000000"/>
      <name val="Calibri"/>
    </font>
    <font>
      <sz val="11.0"/>
      <color rgb="FFFF0000"/>
      <name val="Calibri"/>
    </font>
    <font>
      <color theme="1"/>
      <name val="Calibri"/>
    </font>
    <font>
      <color theme="1"/>
      <name val="Calibri"/>
      <scheme val="minor"/>
    </font>
    <font>
      <b/>
      <sz val="28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i/>
      <sz val="11.0"/>
      <color theme="1"/>
      <name val="Calibri"/>
    </font>
    <font>
      <b/>
      <sz val="16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833C0B"/>
        <bgColor rgb="FF833C0B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5A11"/>
        <bgColor rgb="FFC55A11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</fills>
  <borders count="55">
    <border/>
    <border>
      <left/>
      <top/>
    </border>
    <border>
      <top/>
    </border>
    <border>
      <left/>
      <right/>
      <top/>
      <bottom/>
    </border>
    <border>
      <left style="thin">
        <color rgb="FF000000"/>
      </left>
      <top/>
    </border>
    <border>
      <left/>
      <top/>
      <bottom/>
    </border>
    <border>
      <left/>
    </border>
    <border>
      <left style="thin">
        <color rgb="FF000000"/>
      </left>
    </border>
    <border>
      <left style="thin">
        <color rgb="FF000000"/>
      </left>
      <right/>
      <top/>
      <bottom/>
    </border>
    <border>
      <left style="thin">
        <color rgb="FF833C0B"/>
      </left>
      <right style="thin">
        <color rgb="FF833C0B"/>
      </right>
      <top style="thin">
        <color rgb="FF833C0B"/>
      </top>
      <bottom style="thin">
        <color rgb="FF833C0B"/>
      </bottom>
    </border>
    <border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/>
      <bottom/>
    </border>
    <border>
      <right/>
      <top/>
      <bottom/>
    </border>
    <border>
      <left style="thin">
        <color rgb="FF833C0B"/>
      </left>
      <top style="thin">
        <color rgb="FF833C0B"/>
      </top>
      <bottom style="thin">
        <color rgb="FF833C0B"/>
      </bottom>
    </border>
    <border>
      <right style="thin">
        <color rgb="FF833C0B"/>
      </right>
      <top style="thin">
        <color rgb="FF833C0B"/>
      </top>
      <bottom style="thin">
        <color rgb="FF833C0B"/>
      </bottom>
    </border>
    <border>
      <top style="thin">
        <color rgb="FF833C0B"/>
      </top>
      <bottom style="thin">
        <color rgb="FF833C0B"/>
      </bottom>
    </border>
    <border>
      <left style="thin">
        <color rgb="FF833C0B"/>
      </left>
      <top style="thin">
        <color rgb="FF833C0B"/>
      </top>
    </border>
    <border>
      <right style="thin">
        <color rgb="FF833C0B"/>
      </right>
      <top style="thin">
        <color rgb="FF833C0B"/>
      </top>
    </border>
    <border>
      <top style="thin">
        <color rgb="FF833C0B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833C0B"/>
      </bottom>
    </border>
    <border>
      <top style="thin">
        <color rgb="FF000000"/>
      </top>
      <bottom style="thin">
        <color rgb="FF833C0B"/>
      </bottom>
    </border>
    <border>
      <right style="thin">
        <color rgb="FF833C0B"/>
      </right>
      <top style="thin">
        <color rgb="FF000000"/>
      </top>
      <bottom style="thin">
        <color rgb="FF833C0B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833C0B"/>
      </bottom>
    </border>
    <border>
      <bottom style="thin">
        <color rgb="FF833C0B"/>
      </bottom>
    </border>
    <border>
      <right style="thin">
        <color rgb="FF833C0B"/>
      </right>
      <bottom style="thin">
        <color rgb="FF833C0B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1E4E79"/>
      </left>
      <top style="thin">
        <color rgb="FF1E4E79"/>
      </top>
      <bottom style="thin">
        <color rgb="FF1E4E79"/>
      </bottom>
    </border>
    <border>
      <right style="thin">
        <color rgb="FF1E4E79"/>
      </right>
      <top style="thin">
        <color rgb="FF1E4E79"/>
      </top>
      <bottom style="thin">
        <color rgb="FF1E4E79"/>
      </bottom>
    </border>
    <border>
      <top style="thin">
        <color rgb="FF1E4E79"/>
      </top>
      <bottom style="thin">
        <color rgb="FF1E4E79"/>
      </bottom>
    </border>
    <border>
      <left style="thin">
        <color rgb="FF1E4E79"/>
      </left>
      <right style="thin">
        <color rgb="FF000000"/>
      </right>
      <top/>
      <bottom/>
    </border>
    <border>
      <left style="thin">
        <color rgb="FF000000"/>
      </left>
      <right style="thin">
        <color rgb="FF833C0B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/>
      <bottom/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2" fontId="3" numFmtId="0" xfId="0" applyAlignment="1" applyBorder="1" applyFont="1">
      <alignment vertical="center"/>
    </xf>
    <xf borderId="4" fillId="3" fontId="1" numFmtId="0" xfId="0" applyAlignment="1" applyBorder="1" applyFill="1" applyFont="1">
      <alignment horizontal="center" vertical="center"/>
    </xf>
    <xf borderId="3" fillId="3" fontId="3" numFmtId="0" xfId="0" applyAlignment="1" applyBorder="1" applyFont="1">
      <alignment vertical="center"/>
    </xf>
    <xf borderId="5" fillId="3" fontId="3" numFmtId="0" xfId="0" applyAlignment="1" applyBorder="1" applyFont="1">
      <alignment vertical="center"/>
    </xf>
    <xf borderId="4" fillId="3" fontId="4" numFmtId="0" xfId="0" applyAlignment="1" applyBorder="1" applyFont="1">
      <alignment horizontal="center"/>
    </xf>
    <xf borderId="3" fillId="3" fontId="5" numFmtId="0" xfId="0" applyBorder="1" applyFont="1"/>
    <xf borderId="5" fillId="3" fontId="5" numFmtId="0" xfId="0" applyBorder="1" applyFont="1"/>
    <xf borderId="6" fillId="0" fontId="2" numFmtId="0" xfId="0" applyBorder="1" applyFont="1"/>
    <xf borderId="7" fillId="0" fontId="2" numFmtId="0" xfId="0" applyBorder="1" applyFont="1"/>
    <xf borderId="3" fillId="3" fontId="6" numFmtId="0" xfId="0" applyAlignment="1" applyBorder="1" applyFont="1">
      <alignment vertical="center"/>
    </xf>
    <xf borderId="3" fillId="3" fontId="5" numFmtId="0" xfId="0" applyAlignment="1" applyBorder="1" applyFont="1">
      <alignment vertical="center"/>
    </xf>
    <xf borderId="5" fillId="3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7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7" fillId="0" fontId="8" numFmtId="0" xfId="0" applyAlignment="1" applyBorder="1" applyFont="1">
      <alignment horizontal="right"/>
    </xf>
    <xf borderId="0" fillId="0" fontId="8" numFmtId="0" xfId="0" applyAlignment="1" applyFont="1">
      <alignment horizontal="right"/>
    </xf>
    <xf borderId="0" fillId="0" fontId="5" numFmtId="0" xfId="0" applyFont="1"/>
    <xf borderId="3" fillId="4" fontId="6" numFmtId="0" xfId="0" applyAlignment="1" applyBorder="1" applyFill="1" applyFont="1">
      <alignment vertical="center"/>
    </xf>
    <xf borderId="8" fillId="5" fontId="5" numFmtId="0" xfId="0" applyAlignment="1" applyBorder="1" applyFill="1" applyFont="1">
      <alignment vertical="center"/>
    </xf>
    <xf borderId="3" fillId="5" fontId="5" numFmtId="0" xfId="0" applyAlignment="1" applyBorder="1" applyFont="1">
      <alignment readingOrder="0" vertical="center"/>
    </xf>
    <xf borderId="3" fillId="5" fontId="9" numFmtId="0" xfId="0" applyAlignment="1" applyBorder="1" applyFont="1">
      <alignment vertical="center"/>
    </xf>
    <xf borderId="3" fillId="5" fontId="5" numFmtId="0" xfId="0" applyAlignment="1" applyBorder="1" applyFont="1">
      <alignment vertical="center"/>
    </xf>
    <xf borderId="9" fillId="6" fontId="10" numFmtId="0" xfId="0" applyAlignment="1" applyBorder="1" applyFill="1" applyFont="1">
      <alignment horizontal="center" vertical="center"/>
    </xf>
    <xf borderId="3" fillId="5" fontId="9" numFmtId="0" xfId="0" applyAlignment="1" applyBorder="1" applyFont="1">
      <alignment readingOrder="0" vertical="center"/>
    </xf>
    <xf borderId="8" fillId="5" fontId="5" numFmtId="0" xfId="0" applyBorder="1" applyFont="1"/>
    <xf borderId="3" fillId="5" fontId="9" numFmtId="0" xfId="0" applyAlignment="1" applyBorder="1" applyFont="1">
      <alignment readingOrder="0"/>
    </xf>
    <xf borderId="3" fillId="5" fontId="5" numFmtId="0" xfId="0" applyBorder="1" applyFont="1"/>
    <xf borderId="9" fillId="6" fontId="6" numFmtId="0" xfId="0" applyAlignment="1" applyBorder="1" applyFont="1">
      <alignment horizontal="center"/>
    </xf>
    <xf borderId="3" fillId="4" fontId="5" numFmtId="0" xfId="0" applyAlignment="1" applyBorder="1" applyFont="1">
      <alignment horizontal="center" vertical="center"/>
    </xf>
    <xf borderId="3" fillId="4" fontId="9" numFmtId="0" xfId="0" applyAlignment="1" applyBorder="1" applyFont="1">
      <alignment horizontal="center" vertical="center"/>
    </xf>
    <xf borderId="3" fillId="4" fontId="9" numFmtId="0" xfId="0" applyAlignment="1" applyBorder="1" applyFont="1">
      <alignment horizontal="right" vertical="center"/>
    </xf>
    <xf borderId="5" fillId="4" fontId="9" numFmtId="0" xfId="0" applyAlignment="1" applyBorder="1" applyFont="1">
      <alignment horizontal="center" vertical="center"/>
    </xf>
    <xf borderId="10" fillId="0" fontId="2" numFmtId="0" xfId="0" applyBorder="1" applyFont="1"/>
    <xf borderId="3" fillId="4" fontId="9" numFmtId="0" xfId="0" applyAlignment="1" applyBorder="1" applyFont="1">
      <alignment horizontal="left" vertical="center"/>
    </xf>
    <xf borderId="3" fillId="5" fontId="5" numFmtId="0" xfId="0" applyAlignment="1" applyBorder="1" applyFont="1">
      <alignment horizontal="center" vertical="center"/>
    </xf>
    <xf borderId="9" fillId="5" fontId="5" numFmtId="164" xfId="0" applyAlignment="1" applyBorder="1" applyFont="1" applyNumberFormat="1">
      <alignment horizontal="center" vertical="center"/>
    </xf>
    <xf borderId="8" fillId="5" fontId="5" numFmtId="164" xfId="0" applyBorder="1" applyFont="1" applyNumberFormat="1"/>
    <xf borderId="3" fillId="5" fontId="5" numFmtId="164" xfId="0" applyBorder="1" applyFont="1" applyNumberFormat="1"/>
    <xf borderId="3" fillId="2" fontId="10" numFmtId="0" xfId="0" applyAlignment="1" applyBorder="1" applyFont="1">
      <alignment vertical="center"/>
    </xf>
    <xf borderId="3" fillId="2" fontId="6" numFmtId="0" xfId="0" applyAlignment="1" applyBorder="1" applyFont="1">
      <alignment vertical="center"/>
    </xf>
    <xf borderId="8" fillId="2" fontId="5" numFmtId="0" xfId="0" applyAlignment="1" applyBorder="1" applyFont="1">
      <alignment vertical="center"/>
    </xf>
    <xf borderId="3" fillId="2" fontId="5" numFmtId="0" xfId="0" applyAlignment="1" applyBorder="1" applyFont="1">
      <alignment vertical="center"/>
    </xf>
    <xf borderId="3" fillId="2" fontId="9" numFmtId="0" xfId="0" applyAlignment="1" applyBorder="1" applyFont="1">
      <alignment horizontal="center" vertical="center"/>
    </xf>
    <xf borderId="8" fillId="2" fontId="5" numFmtId="0" xfId="0" applyBorder="1" applyFont="1"/>
    <xf borderId="3" fillId="2" fontId="5" numFmtId="0" xfId="0" applyBorder="1" applyFont="1"/>
    <xf borderId="8" fillId="4" fontId="5" numFmtId="0" xfId="0" applyAlignment="1" applyBorder="1" applyFont="1">
      <alignment vertical="center"/>
    </xf>
    <xf borderId="3" fillId="4" fontId="5" numFmtId="0" xfId="0" applyAlignment="1" applyBorder="1" applyFont="1">
      <alignment vertical="center"/>
    </xf>
    <xf borderId="11" fillId="4" fontId="5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12" fillId="0" fontId="11" numFmtId="0" xfId="0" applyAlignment="1" applyBorder="1" applyFont="1">
      <alignment vertical="center"/>
    </xf>
    <xf borderId="7" fillId="0" fontId="12" numFmtId="0" xfId="0" applyAlignment="1" applyBorder="1" applyFont="1">
      <alignment horizontal="right"/>
    </xf>
    <xf borderId="12" fillId="0" fontId="11" numFmtId="0" xfId="0" applyBorder="1" applyFont="1"/>
    <xf borderId="3" fillId="4" fontId="5" numFmtId="0" xfId="0" applyAlignment="1" applyBorder="1" applyFont="1">
      <alignment readingOrder="0" vertical="center"/>
    </xf>
    <xf borderId="3" fillId="4" fontId="5" numFmtId="165" xfId="0" applyAlignment="1" applyBorder="1" applyFont="1" applyNumberFormat="1">
      <alignment readingOrder="0" vertical="center"/>
    </xf>
    <xf borderId="0" fillId="4" fontId="5" numFmtId="0" xfId="0" applyAlignment="1" applyFont="1">
      <alignment horizontal="right" vertical="center"/>
    </xf>
    <xf borderId="13" fillId="0" fontId="5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left" vertical="center"/>
    </xf>
    <xf borderId="7" fillId="0" fontId="5" numFmtId="0" xfId="0" applyAlignment="1" applyBorder="1" applyFont="1">
      <alignment vertical="center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5" fontId="5" numFmtId="164" xfId="0" applyAlignment="1" applyFont="1" applyNumberFormat="1">
      <alignment horizontal="center" readingOrder="0" vertical="center"/>
    </xf>
    <xf borderId="12" fillId="0" fontId="5" numFmtId="0" xfId="0" applyAlignment="1" applyBorder="1" applyFont="1">
      <alignment readingOrder="0" vertical="center"/>
    </xf>
    <xf borderId="12" fillId="0" fontId="5" numFmtId="0" xfId="0" applyAlignment="1" applyBorder="1" applyFont="1">
      <alignment vertical="center"/>
    </xf>
    <xf borderId="0" fillId="0" fontId="12" numFmtId="0" xfId="0" applyAlignment="1" applyFont="1">
      <alignment horizontal="left" readingOrder="0" vertical="center"/>
    </xf>
    <xf borderId="7" fillId="0" fontId="5" numFmtId="0" xfId="0" applyBorder="1" applyFont="1"/>
    <xf borderId="0" fillId="0" fontId="5" numFmtId="0" xfId="0" applyAlignment="1" applyFont="1">
      <alignment horizontal="right"/>
    </xf>
    <xf borderId="13" fillId="0" fontId="5" numFmtId="0" xfId="0" applyBorder="1" applyFont="1"/>
    <xf borderId="0" fillId="5" fontId="5" numFmtId="164" xfId="0" applyFont="1" applyNumberFormat="1"/>
    <xf borderId="12" fillId="0" fontId="5" numFmtId="0" xfId="0" applyBorder="1" applyFont="1"/>
    <xf borderId="13" fillId="0" fontId="5" numFmtId="0" xfId="0" applyAlignment="1" applyBorder="1" applyFont="1">
      <alignment horizontal="center" vertical="center"/>
    </xf>
    <xf borderId="0" fillId="5" fontId="5" numFmtId="164" xfId="0" applyAlignment="1" applyFont="1" applyNumberFormat="1">
      <alignment horizontal="center" vertical="center"/>
    </xf>
    <xf borderId="14" fillId="4" fontId="5" numFmtId="0" xfId="0" applyAlignment="1" applyBorder="1" applyFont="1">
      <alignment vertical="center"/>
    </xf>
    <xf borderId="15" fillId="4" fontId="5" numFmtId="0" xfId="0" applyAlignment="1" applyBorder="1" applyFont="1">
      <alignment readingOrder="0" vertical="center"/>
    </xf>
    <xf borderId="15" fillId="4" fontId="5" numFmtId="165" xfId="0" applyAlignment="1" applyBorder="1" applyFont="1" applyNumberFormat="1">
      <alignment readingOrder="0" vertical="center"/>
    </xf>
    <xf borderId="16" fillId="4" fontId="5" numFmtId="0" xfId="0" applyAlignment="1" applyBorder="1" applyFont="1">
      <alignment horizontal="right" vertical="center"/>
    </xf>
    <xf borderId="16" fillId="4" fontId="5" numFmtId="0" xfId="0" applyAlignment="1" applyBorder="1" applyFont="1">
      <alignment horizontal="left" vertical="center"/>
    </xf>
    <xf borderId="15" fillId="4" fontId="5" numFmtId="0" xfId="0" applyAlignment="1" applyBorder="1" applyFont="1">
      <alignment horizontal="center" vertical="center"/>
    </xf>
    <xf borderId="17" fillId="4" fontId="5" numFmtId="0" xfId="0" applyAlignment="1" applyBorder="1" applyFont="1">
      <alignment vertical="center"/>
    </xf>
    <xf borderId="18" fillId="0" fontId="5" numFmtId="0" xfId="0" applyAlignment="1" applyBorder="1" applyFont="1">
      <alignment vertical="center"/>
    </xf>
    <xf borderId="16" fillId="0" fontId="5" numFmtId="0" xfId="0" applyAlignment="1" applyBorder="1" applyFont="1">
      <alignment horizontal="right" vertical="center"/>
    </xf>
    <xf borderId="16" fillId="0" fontId="5" numFmtId="0" xfId="0" applyAlignment="1" applyBorder="1" applyFont="1">
      <alignment horizontal="left" vertical="center"/>
    </xf>
    <xf borderId="16" fillId="0" fontId="5" numFmtId="0" xfId="0" applyAlignment="1" applyBorder="1" applyFont="1">
      <alignment vertical="center"/>
    </xf>
    <xf borderId="16" fillId="0" fontId="3" numFmtId="0" xfId="0" applyAlignment="1" applyBorder="1" applyFont="1">
      <alignment horizontal="left" vertical="center"/>
    </xf>
    <xf borderId="16" fillId="5" fontId="5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8" fillId="0" fontId="5" numFmtId="0" xfId="0" applyBorder="1" applyFont="1"/>
    <xf borderId="16" fillId="0" fontId="5" numFmtId="0" xfId="0" applyAlignment="1" applyBorder="1" applyFont="1">
      <alignment horizontal="right"/>
    </xf>
    <xf borderId="16" fillId="0" fontId="5" numFmtId="0" xfId="0" applyBorder="1" applyFont="1"/>
    <xf borderId="16" fillId="5" fontId="5" numFmtId="164" xfId="0" applyBorder="1" applyFont="1" applyNumberFormat="1"/>
    <xf borderId="19" fillId="0" fontId="5" numFmtId="0" xfId="0" applyBorder="1" applyFont="1"/>
    <xf borderId="20" fillId="4" fontId="5" numFmtId="0" xfId="0" applyAlignment="1" applyBorder="1" applyFont="1">
      <alignment vertical="center"/>
    </xf>
    <xf borderId="21" fillId="4" fontId="5" numFmtId="0" xfId="0" applyAlignment="1" applyBorder="1" applyFont="1">
      <alignment readingOrder="0" vertical="center"/>
    </xf>
    <xf borderId="21" fillId="4" fontId="5" numFmtId="165" xfId="0" applyAlignment="1" applyBorder="1" applyFont="1" applyNumberFormat="1">
      <alignment readingOrder="0" vertical="center"/>
    </xf>
    <xf borderId="21" fillId="4" fontId="5" numFmtId="0" xfId="0" applyAlignment="1" applyBorder="1" applyFont="1">
      <alignment horizontal="center" vertical="center"/>
    </xf>
    <xf borderId="22" fillId="4" fontId="5" numFmtId="0" xfId="0" applyAlignment="1" applyBorder="1" applyFont="1">
      <alignment vertical="center"/>
    </xf>
    <xf borderId="0" fillId="0" fontId="12" numFmtId="0" xfId="0" applyFont="1"/>
    <xf borderId="16" fillId="0" fontId="12" numFmtId="0" xfId="0" applyBorder="1" applyFont="1"/>
    <xf borderId="8" fillId="2" fontId="6" numFmtId="0" xfId="0" applyAlignment="1" applyBorder="1" applyFont="1">
      <alignment vertical="center"/>
    </xf>
    <xf borderId="11" fillId="2" fontId="5" numFmtId="0" xfId="0" applyAlignment="1" applyBorder="1" applyFont="1">
      <alignment vertical="center"/>
    </xf>
    <xf borderId="11" fillId="2" fontId="5" numFmtId="0" xfId="0" applyBorder="1" applyFont="1"/>
    <xf borderId="3" fillId="4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Font="1"/>
    <xf borderId="23" fillId="2" fontId="3" numFmtId="0" xfId="0" applyAlignment="1" applyBorder="1" applyFont="1">
      <alignment horizontal="center" vertical="center"/>
    </xf>
    <xf borderId="24" fillId="2" fontId="10" numFmtId="0" xfId="0" applyAlignment="1" applyBorder="1" applyFont="1">
      <alignment horizontal="center" vertical="center"/>
    </xf>
    <xf borderId="25" fillId="0" fontId="2" numFmtId="0" xfId="0" applyBorder="1" applyFont="1"/>
    <xf borderId="5" fillId="2" fontId="6" numFmtId="0" xfId="0" applyAlignment="1" applyBorder="1" applyFont="1">
      <alignment horizontal="center" readingOrder="0" vertical="center"/>
    </xf>
    <xf borderId="7" fillId="0" fontId="3" numFmtId="164" xfId="0" applyAlignment="1" applyBorder="1" applyFont="1" applyNumberFormat="1">
      <alignment vertical="center"/>
    </xf>
    <xf borderId="26" fillId="3" fontId="10" numFmtId="0" xfId="0" applyAlignment="1" applyBorder="1" applyFont="1">
      <alignment horizontal="center" vertical="center"/>
    </xf>
    <xf borderId="27" fillId="0" fontId="2" numFmtId="0" xfId="0" applyBorder="1" applyFont="1"/>
    <xf borderId="28" fillId="0" fontId="2" numFmtId="0" xfId="0" applyBorder="1" applyFont="1"/>
    <xf borderId="29" fillId="3" fontId="10" numFmtId="0" xfId="0" applyAlignment="1" applyBorder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  <xf borderId="7" fillId="0" fontId="12" numFmtId="164" xfId="0" applyAlignment="1" applyBorder="1" applyFont="1" applyNumberFormat="1">
      <alignment horizontal="right"/>
    </xf>
    <xf borderId="26" fillId="3" fontId="6" numFmtId="0" xfId="0" applyAlignment="1" applyBorder="1" applyFont="1">
      <alignment horizontal="center"/>
    </xf>
    <xf borderId="13" fillId="4" fontId="5" numFmtId="0" xfId="0" applyAlignment="1" applyBorder="1" applyFont="1">
      <alignment horizontal="center" vertical="center"/>
    </xf>
    <xf borderId="32" fillId="4" fontId="9" numFmtId="0" xfId="0" applyAlignment="1" applyBorder="1" applyFont="1">
      <alignment horizontal="center" vertical="center"/>
    </xf>
    <xf borderId="33" fillId="0" fontId="2" numFmtId="0" xfId="0" applyBorder="1" applyFont="1"/>
    <xf borderId="32" fillId="4" fontId="5" numFmtId="0" xfId="0" applyAlignment="1" applyBorder="1" applyFont="1">
      <alignment horizontal="center" vertical="center"/>
    </xf>
    <xf borderId="32" fillId="0" fontId="9" numFmtId="0" xfId="0" applyAlignment="1" applyBorder="1" applyFont="1">
      <alignment horizontal="center" readingOrder="0" vertical="center"/>
    </xf>
    <xf borderId="34" fillId="0" fontId="9" numFmtId="0" xfId="0" applyAlignment="1" applyBorder="1" applyFont="1">
      <alignment horizontal="center" readingOrder="0" vertical="center"/>
    </xf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32" fillId="4" fontId="5" numFmtId="164" xfId="0" applyAlignment="1" applyBorder="1" applyFont="1" applyNumberFormat="1">
      <alignment horizontal="center"/>
    </xf>
    <xf borderId="32" fillId="0" fontId="5" numFmtId="164" xfId="0" applyBorder="1" applyFont="1" applyNumberFormat="1"/>
    <xf borderId="34" fillId="0" fontId="5" numFmtId="164" xfId="0" applyBorder="1" applyFont="1" applyNumberFormat="1"/>
    <xf borderId="0" fillId="0" fontId="5" numFmtId="164" xfId="0" applyFont="1" applyNumberFormat="1"/>
    <xf borderId="9" fillId="5" fontId="5" numFmtId="164" xfId="0" applyBorder="1" applyFont="1" applyNumberFormat="1"/>
    <xf borderId="34" fillId="0" fontId="5" numFmtId="0" xfId="0" applyAlignment="1" applyBorder="1" applyFont="1">
      <alignment horizontal="center" readingOrder="0" vertical="center"/>
    </xf>
    <xf borderId="38" fillId="0" fontId="9" numFmtId="0" xfId="0" applyAlignment="1" applyBorder="1" applyFont="1">
      <alignment horizontal="center" readingOrder="0" vertical="center"/>
    </xf>
    <xf borderId="39" fillId="0" fontId="2" numFmtId="0" xfId="0" applyBorder="1" applyFont="1"/>
    <xf borderId="40" fillId="0" fontId="2" numFmtId="0" xfId="0" applyBorder="1" applyFont="1"/>
    <xf borderId="25" fillId="4" fontId="5" numFmtId="0" xfId="0" applyAlignment="1" applyBorder="1" applyFont="1">
      <alignment vertical="center"/>
    </xf>
    <xf borderId="13" fillId="4" fontId="5" numFmtId="0" xfId="0" applyAlignment="1" applyBorder="1" applyFont="1">
      <alignment horizontal="center" readingOrder="0" vertical="center"/>
    </xf>
    <xf borderId="13" fillId="4" fontId="5" numFmtId="164" xfId="0" applyAlignment="1" applyBorder="1" applyFont="1" applyNumberFormat="1">
      <alignment horizontal="center"/>
    </xf>
    <xf borderId="32" fillId="4" fontId="5" numFmtId="0" xfId="0" applyAlignment="1" applyBorder="1" applyFont="1">
      <alignment horizontal="center" readingOrder="0" vertical="center"/>
    </xf>
    <xf borderId="3" fillId="4" fontId="13" numFmtId="0" xfId="0" applyAlignment="1" applyBorder="1" applyFont="1">
      <alignment vertical="center"/>
    </xf>
    <xf borderId="26" fillId="3" fontId="10" numFmtId="0" xfId="0" applyAlignment="1" applyBorder="1" applyFont="1">
      <alignment horizontal="left" vertical="center"/>
    </xf>
    <xf borderId="26" fillId="5" fontId="9" numFmtId="0" xfId="0" applyAlignment="1" applyBorder="1" applyFont="1">
      <alignment horizontal="center" vertical="center"/>
    </xf>
    <xf borderId="7" fillId="0" fontId="5" numFmtId="164" xfId="0" applyBorder="1" applyFont="1" applyNumberFormat="1"/>
    <xf borderId="26" fillId="3" fontId="6" numFmtId="164" xfId="0" applyBorder="1" applyFont="1" applyNumberFormat="1"/>
    <xf borderId="26" fillId="5" fontId="9" numFmtId="164" xfId="0" applyAlignment="1" applyBorder="1" applyFont="1" applyNumberFormat="1">
      <alignment horizontal="center"/>
    </xf>
    <xf borderId="9" fillId="5" fontId="5" numFmtId="164" xfId="0" applyAlignment="1" applyBorder="1" applyFont="1" applyNumberFormat="1">
      <alignment horizontal="center"/>
    </xf>
    <xf borderId="12" fillId="0" fontId="3" numFmtId="0" xfId="0" applyAlignment="1" applyBorder="1" applyFont="1">
      <alignment vertical="center"/>
    </xf>
    <xf borderId="7" fillId="0" fontId="12" numFmtId="0" xfId="0" applyBorder="1" applyFont="1"/>
    <xf borderId="12" fillId="0" fontId="12" numFmtId="0" xfId="0" applyAlignment="1" applyBorder="1" applyFont="1">
      <alignment horizontal="right"/>
    </xf>
    <xf borderId="15" fillId="4" fontId="5" numFmtId="0" xfId="0" applyAlignment="1" applyBorder="1" applyFont="1">
      <alignment vertical="center"/>
    </xf>
    <xf borderId="41" fillId="2" fontId="10" numFmtId="0" xfId="0" applyAlignment="1" applyBorder="1" applyFont="1">
      <alignment horizontal="center" vertical="center"/>
    </xf>
    <xf borderId="42" fillId="0" fontId="2" numFmtId="0" xfId="0" applyBorder="1" applyFont="1"/>
    <xf borderId="5" fillId="2" fontId="10" numFmtId="0" xfId="0" applyAlignment="1" applyBorder="1" applyFont="1">
      <alignment horizontal="center" vertical="center"/>
    </xf>
    <xf borderId="11" fillId="4" fontId="13" numFmtId="0" xfId="0" applyAlignment="1" applyBorder="1" applyFont="1">
      <alignment vertical="center"/>
    </xf>
    <xf borderId="16" fillId="0" fontId="14" numFmtId="0" xfId="0" applyAlignment="1" applyBorder="1" applyFont="1">
      <alignment vertical="center"/>
    </xf>
    <xf borderId="41" fillId="3" fontId="10" numFmtId="0" xfId="0" applyAlignment="1" applyBorder="1" applyFont="1">
      <alignment horizontal="center" vertical="center"/>
    </xf>
    <xf borderId="16" fillId="0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41" fillId="3" fontId="6" numFmtId="0" xfId="0" applyAlignment="1" applyBorder="1" applyFont="1">
      <alignment horizontal="center"/>
    </xf>
    <xf borderId="21" fillId="4" fontId="5" numFmtId="0" xfId="0" applyAlignment="1" applyBorder="1" applyFont="1">
      <alignment horizontal="center" readingOrder="0" vertical="center"/>
    </xf>
    <xf borderId="21" fillId="4" fontId="5" numFmtId="0" xfId="0" applyAlignment="1" applyBorder="1" applyFont="1">
      <alignment horizontal="right" vertical="center"/>
    </xf>
    <xf borderId="21" fillId="4" fontId="5" numFmtId="0" xfId="0" applyAlignment="1" applyBorder="1" applyFont="1">
      <alignment horizontal="left" vertical="center"/>
    </xf>
    <xf borderId="21" fillId="0" fontId="5" numFmtId="0" xfId="0" applyAlignment="1" applyBorder="1" applyFont="1">
      <alignment horizontal="right" vertical="center"/>
    </xf>
    <xf borderId="21" fillId="0" fontId="5" numFmtId="0" xfId="0" applyAlignment="1" applyBorder="1" applyFont="1">
      <alignment horizontal="left" vertical="center"/>
    </xf>
    <xf borderId="21" fillId="0" fontId="5" numFmtId="0" xfId="0" applyAlignment="1" applyBorder="1" applyFont="1">
      <alignment horizontal="center" vertical="center"/>
    </xf>
    <xf borderId="0" fillId="0" fontId="12" numFmtId="0" xfId="0" applyAlignment="1" applyFont="1">
      <alignment horizontal="left" shrinkToFit="0" vertical="center" wrapText="1"/>
    </xf>
    <xf borderId="21" fillId="0" fontId="5" numFmtId="164" xfId="0" applyBorder="1" applyFont="1" applyNumberFormat="1"/>
    <xf borderId="13" fillId="0" fontId="5" numFmtId="164" xfId="0" applyBorder="1" applyFont="1" applyNumberFormat="1"/>
    <xf borderId="3" fillId="0" fontId="5" numFmtId="0" xfId="0" applyAlignment="1" applyBorder="1" applyFont="1">
      <alignment horizontal="center" vertical="center"/>
    </xf>
    <xf borderId="3" fillId="0" fontId="5" numFmtId="164" xfId="0" applyBorder="1" applyFont="1" applyNumberFormat="1"/>
    <xf borderId="43" fillId="4" fontId="5" numFmtId="0" xfId="0" applyAlignment="1" applyBorder="1" applyFont="1">
      <alignment horizontal="center" vertical="center"/>
    </xf>
    <xf borderId="43" fillId="4" fontId="5" numFmtId="0" xfId="0" applyAlignment="1" applyBorder="1" applyFont="1">
      <alignment horizontal="right" vertical="center"/>
    </xf>
    <xf borderId="43" fillId="4" fontId="5" numFmtId="0" xfId="0" applyAlignment="1" applyBorder="1" applyFont="1">
      <alignment horizontal="left" vertical="center"/>
    </xf>
    <xf borderId="43" fillId="0" fontId="5" numFmtId="0" xfId="0" applyAlignment="1" applyBorder="1" applyFont="1">
      <alignment horizontal="right" vertical="center"/>
    </xf>
    <xf borderId="43" fillId="0" fontId="5" numFmtId="0" xfId="0" applyAlignment="1" applyBorder="1" applyFont="1">
      <alignment horizontal="left" vertical="center"/>
    </xf>
    <xf borderId="43" fillId="0" fontId="5" numFmtId="0" xfId="0" applyAlignment="1" applyBorder="1" applyFont="1">
      <alignment horizontal="center" vertical="center"/>
    </xf>
    <xf borderId="7" fillId="0" fontId="12" numFmtId="164" xfId="0" applyBorder="1" applyFont="1" applyNumberFormat="1"/>
    <xf borderId="43" fillId="0" fontId="5" numFmtId="164" xfId="0" applyBorder="1" applyFont="1" applyNumberFormat="1"/>
    <xf borderId="3" fillId="4" fontId="5" numFmtId="0" xfId="0" applyAlignment="1" applyBorder="1" applyFont="1">
      <alignment horizontal="right" vertical="center"/>
    </xf>
    <xf borderId="3" fillId="4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right" vertical="center"/>
    </xf>
    <xf borderId="3" fillId="0" fontId="5" numFmtId="0" xfId="0" applyAlignment="1" applyBorder="1" applyFont="1">
      <alignment horizontal="left" vertical="center"/>
    </xf>
    <xf borderId="0" fillId="0" fontId="15" numFmtId="0" xfId="0" applyAlignment="1" applyFont="1">
      <alignment horizontal="left" shrinkToFit="0" vertical="center" wrapText="1"/>
    </xf>
    <xf borderId="3" fillId="0" fontId="5" numFmtId="164" xfId="0" applyAlignment="1" applyBorder="1" applyFont="1" applyNumberFormat="1">
      <alignment horizontal="right" vertical="center"/>
    </xf>
    <xf borderId="3" fillId="0" fontId="5" numFmtId="164" xfId="0" applyAlignment="1" applyBorder="1" applyFont="1" applyNumberFormat="1">
      <alignment horizontal="right"/>
    </xf>
    <xf borderId="0" fillId="0" fontId="3" numFmtId="0" xfId="0" applyAlignment="1" applyFont="1">
      <alignment horizontal="left" shrinkToFit="0" vertical="center" wrapText="1"/>
    </xf>
    <xf borderId="15" fillId="4" fontId="5" numFmtId="0" xfId="0" applyAlignment="1" applyBorder="1" applyFont="1">
      <alignment horizontal="right" vertical="center"/>
    </xf>
    <xf borderId="15" fillId="4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right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center" vertical="center"/>
    </xf>
    <xf borderId="15" fillId="0" fontId="5" numFmtId="164" xfId="0" applyAlignment="1" applyBorder="1" applyFont="1" applyNumberFormat="1">
      <alignment horizontal="right" vertical="center"/>
    </xf>
    <xf borderId="15" fillId="0" fontId="5" numFmtId="164" xfId="0" applyAlignment="1" applyBorder="1" applyFont="1" applyNumberFormat="1">
      <alignment horizontal="right"/>
    </xf>
    <xf borderId="15" fillId="0" fontId="5" numFmtId="164" xfId="0" applyBorder="1" applyFont="1" applyNumberFormat="1"/>
    <xf borderId="44" fillId="0" fontId="5" numFmtId="0" xfId="0" applyAlignment="1" applyBorder="1" applyFont="1">
      <alignment horizontal="center" vertical="center"/>
    </xf>
    <xf borderId="44" fillId="0" fontId="5" numFmtId="164" xfId="0" applyBorder="1" applyFont="1" applyNumberFormat="1"/>
    <xf borderId="0" fillId="0" fontId="12" numFmtId="164" xfId="0" applyAlignment="1" applyFont="1" applyNumberFormat="1">
      <alignment shrinkToFit="0" wrapText="1"/>
    </xf>
    <xf borderId="45" fillId="4" fontId="5" numFmtId="0" xfId="0" applyAlignment="1" applyBorder="1" applyFont="1">
      <alignment horizontal="center" vertical="center"/>
    </xf>
    <xf borderId="45" fillId="4" fontId="5" numFmtId="0" xfId="0" applyAlignment="1" applyBorder="1" applyFont="1">
      <alignment horizontal="right" vertical="center"/>
    </xf>
    <xf borderId="45" fillId="4" fontId="5" numFmtId="0" xfId="0" applyAlignment="1" applyBorder="1" applyFont="1">
      <alignment horizontal="left" vertical="center"/>
    </xf>
    <xf borderId="45" fillId="0" fontId="5" numFmtId="0" xfId="0" applyAlignment="1" applyBorder="1" applyFont="1">
      <alignment horizontal="right" vertical="center"/>
    </xf>
    <xf borderId="45" fillId="0" fontId="5" numFmtId="0" xfId="0" applyAlignment="1" applyBorder="1" applyFont="1">
      <alignment horizontal="left" vertical="center"/>
    </xf>
    <xf borderId="45" fillId="0" fontId="5" numFmtId="0" xfId="0" applyAlignment="1" applyBorder="1" applyFont="1">
      <alignment horizontal="center" vertical="center"/>
    </xf>
    <xf borderId="45" fillId="0" fontId="5" numFmtId="164" xfId="0" applyBorder="1" applyFont="1" applyNumberFormat="1"/>
    <xf borderId="46" fillId="2" fontId="10" numFmtId="0" xfId="0" applyAlignment="1" applyBorder="1" applyFont="1">
      <alignment horizontal="center" vertical="center"/>
    </xf>
    <xf borderId="47" fillId="0" fontId="2" numFmtId="0" xfId="0" applyBorder="1" applyFont="1"/>
    <xf borderId="46" fillId="7" fontId="9" numFmtId="0" xfId="0" applyAlignment="1" applyBorder="1" applyFill="1" applyFont="1">
      <alignment horizontal="center" vertical="center"/>
    </xf>
    <xf borderId="48" fillId="0" fontId="2" numFmtId="0" xfId="0" applyBorder="1" applyFont="1"/>
    <xf borderId="49" fillId="4" fontId="13" numFmtId="0" xfId="0" applyAlignment="1" applyBorder="1" applyFont="1">
      <alignment vertical="center"/>
    </xf>
    <xf borderId="50" fillId="0" fontId="5" numFmtId="0" xfId="0" applyAlignment="1" applyBorder="1" applyFont="1">
      <alignment vertical="center"/>
    </xf>
    <xf borderId="9" fillId="3" fontId="10" numFmtId="0" xfId="0" applyAlignment="1" applyBorder="1" applyFont="1">
      <alignment horizontal="center" vertical="center"/>
    </xf>
    <xf borderId="26" fillId="8" fontId="9" numFmtId="0" xfId="0" applyAlignment="1" applyBorder="1" applyFill="1" applyFont="1">
      <alignment horizontal="center" readingOrder="0" vertical="center"/>
    </xf>
    <xf borderId="51" fillId="9" fontId="16" numFmtId="0" xfId="0" applyAlignment="1" applyBorder="1" applyFill="1" applyFont="1">
      <alignment horizontal="center" shrinkToFit="0" vertical="center" wrapText="1"/>
    </xf>
    <xf borderId="52" fillId="0" fontId="2" numFmtId="0" xfId="0" applyBorder="1" applyFont="1"/>
    <xf borderId="50" fillId="0" fontId="5" numFmtId="0" xfId="0" applyBorder="1" applyFont="1"/>
    <xf borderId="9" fillId="3" fontId="6" numFmtId="0" xfId="0" applyAlignment="1" applyBorder="1" applyFont="1">
      <alignment horizontal="center"/>
    </xf>
    <xf borderId="26" fillId="8" fontId="5" numFmtId="0" xfId="0" applyBorder="1" applyFont="1"/>
    <xf borderId="51" fillId="9" fontId="5" numFmtId="0" xfId="0" applyBorder="1" applyFont="1"/>
    <xf borderId="24" fillId="4" fontId="5" numFmtId="0" xfId="0" applyAlignment="1" applyBorder="1" applyFont="1">
      <alignment vertical="center"/>
    </xf>
    <xf borderId="53" fillId="4" fontId="13" numFmtId="0" xfId="0" applyAlignment="1" applyBorder="1" applyFont="1">
      <alignment vertical="center"/>
    </xf>
    <xf borderId="18" fillId="0" fontId="2" numFmtId="0" xfId="0" applyBorder="1" applyFont="1"/>
    <xf borderId="19" fillId="0" fontId="2" numFmtId="0" xfId="0" applyBorder="1" applyFont="1"/>
    <xf borderId="0" fillId="0" fontId="5" numFmtId="0" xfId="0" applyAlignment="1" applyFont="1">
      <alignment vertical="bottom"/>
    </xf>
    <xf borderId="0" fillId="0" fontId="17" numFmtId="0" xfId="0" applyFont="1"/>
    <xf borderId="0" fillId="0" fontId="17" numFmtId="3" xfId="0" applyFont="1" applyNumberFormat="1"/>
    <xf borderId="0" fillId="0" fontId="18" numFmtId="0" xfId="0" applyAlignment="1" applyFont="1">
      <alignment readingOrder="0"/>
    </xf>
    <xf borderId="0" fillId="0" fontId="18" numFmtId="164" xfId="0" applyFont="1" applyNumberFormat="1"/>
    <xf borderId="3" fillId="4" fontId="9" numFmtId="0" xfId="0" applyAlignment="1" applyBorder="1" applyFont="1">
      <alignment horizontal="center" readingOrder="0" vertical="center"/>
    </xf>
    <xf borderId="3" fillId="4" fontId="9" numFmtId="0" xfId="0" applyAlignment="1" applyBorder="1" applyFont="1">
      <alignment horizontal="right" readingOrder="0" vertical="center"/>
    </xf>
    <xf borderId="5" fillId="4" fontId="9" numFmtId="0" xfId="0" applyAlignment="1" applyBorder="1" applyFont="1">
      <alignment horizontal="center" readingOrder="0" vertical="center"/>
    </xf>
    <xf borderId="10" fillId="4" fontId="9" numFmtId="0" xfId="0" applyAlignment="1" applyBorder="1" applyFont="1">
      <alignment horizontal="center" readingOrder="0" vertical="center"/>
    </xf>
    <xf borderId="3" fillId="2" fontId="6" numFmtId="0" xfId="0" applyAlignment="1" applyBorder="1" applyFont="1">
      <alignment readingOrder="0" vertical="center"/>
    </xf>
    <xf borderId="3" fillId="2" fontId="6" numFmtId="165" xfId="0" applyAlignment="1" applyBorder="1" applyFont="1" applyNumberFormat="1">
      <alignment readingOrder="0"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vertical="center"/>
    </xf>
    <xf borderId="54" fillId="0" fontId="23" numFmtId="0" xfId="0" applyAlignment="1" applyBorder="1" applyFont="1">
      <alignment vertical="center"/>
    </xf>
    <xf borderId="54" fillId="0" fontId="22" numFmtId="0" xfId="0" applyAlignment="1" applyBorder="1" applyFont="1">
      <alignment vertical="center"/>
    </xf>
    <xf borderId="13" fillId="2" fontId="10" numFmtId="0" xfId="0" applyAlignment="1" applyBorder="1" applyFont="1">
      <alignment horizontal="center" shrinkToFit="0" vertical="center" wrapText="1"/>
    </xf>
    <xf borderId="37" fillId="0" fontId="5" numFmtId="0" xfId="0" applyAlignment="1" applyBorder="1" applyFont="1">
      <alignment vertical="center"/>
    </xf>
    <xf borderId="13" fillId="9" fontId="5" numFmtId="0" xfId="0" applyAlignment="1" applyBorder="1" applyFont="1">
      <alignment horizontal="center" vertical="center"/>
    </xf>
    <xf borderId="13" fillId="10" fontId="5" numFmtId="0" xfId="0" applyAlignment="1" applyBorder="1" applyFill="1" applyFont="1">
      <alignment vertical="center"/>
    </xf>
    <xf borderId="0" fillId="0" fontId="22" numFmtId="0" xfId="0" applyFont="1"/>
    <xf borderId="0" fillId="0" fontId="24" numFmtId="0" xfId="0" applyAlignment="1" applyFont="1">
      <alignment horizontal="left" vertical="center"/>
    </xf>
    <xf borderId="0" fillId="0" fontId="22" numFmtId="0" xfId="0" applyAlignment="1" applyFont="1">
      <alignment horizontal="center" shrinkToFit="0" wrapText="1"/>
    </xf>
    <xf quotePrefix="1" borderId="13" fillId="9" fontId="5" numFmtId="0" xfId="0" applyAlignment="1" applyBorder="1" applyFont="1">
      <alignment horizontal="center" vertical="center"/>
    </xf>
    <xf borderId="16" fillId="0" fontId="23" numFmtId="0" xfId="0" applyBorder="1" applyFont="1"/>
    <xf borderId="16" fillId="0" fontId="22" numFmtId="0" xfId="0" applyBorder="1" applyFont="1"/>
    <xf borderId="37" fillId="0" fontId="9" numFmtId="0" xfId="0" applyAlignment="1" applyBorder="1" applyFont="1">
      <alignment vertical="center"/>
    </xf>
    <xf borderId="0" fillId="0" fontId="16" numFmtId="0" xfId="0" applyFont="1"/>
    <xf borderId="0" fillId="0" fontId="25" numFmtId="0" xfId="0" applyAlignment="1" applyFont="1">
      <alignment vertical="center"/>
    </xf>
  </cellXfs>
  <cellStyles count="1">
    <cellStyle xfId="0" name="Normal" builtinId="0"/>
  </cellStyles>
  <dxfs count="6"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7F7F7F"/>
      </font>
      <fill>
        <patternFill patternType="none"/>
      </fill>
      <border/>
    </dxf>
    <dxf>
      <font>
        <b/>
        <color rgb="FF0000FF"/>
      </font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solid">
          <fgColor rgb="FFDEEAF6"/>
          <bgColor rgb="FFDEEAF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boud/AppData/Local/Temp/Temp1_Euro_2020_Predictor_Games_-_Free_Version.zip/Euro%202020%20Office%20Pool%20V3.42%20-%2010%20Player%20-%20Free%20Version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ame Setup"/>
      <sheetName val="Player Game Board"/>
      <sheetName val="Language Table"/>
      <sheetName val="Best Player | Top Scorer Table"/>
      <sheetName val="Player Scoreboard"/>
      <sheetName val="Player Leaderboard"/>
      <sheetName val="Matches"/>
      <sheetName val="License"/>
      <sheetName val="About"/>
      <sheetName val="Dummy Table"/>
      <sheetName val="Dummy Rank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57"/>
    <col customWidth="1" min="2" max="2" width="4.14"/>
    <col customWidth="1" min="3" max="3" width="7.57"/>
    <col customWidth="1" min="4" max="4" width="10.86"/>
    <col customWidth="1" min="5" max="5" width="18.57"/>
    <col customWidth="1" min="6" max="7" width="3.43"/>
    <col customWidth="1" min="8" max="8" width="18.57"/>
    <col customWidth="1" min="9" max="10" width="3.43"/>
    <col customWidth="1" min="11" max="11" width="1.57"/>
    <col customWidth="1" min="12" max="12" width="3.86"/>
    <col customWidth="1" min="13" max="13" width="18.57"/>
    <col customWidth="1" min="14" max="15" width="3.86"/>
    <col customWidth="1" min="16" max="16" width="18.57"/>
    <col customWidth="1" min="17" max="18" width="3.86"/>
    <col customWidth="1" min="19" max="19" width="11.57"/>
    <col customWidth="1" min="20" max="21" width="8.71"/>
    <col customWidth="1" min="22" max="22" width="3.86"/>
    <col customWidth="1" min="23" max="23" width="18.57"/>
    <col customWidth="1" min="24" max="25" width="3.86"/>
    <col customWidth="1" min="26" max="26" width="18.57"/>
    <col customWidth="1" min="27" max="28" width="3.86"/>
    <col customWidth="1" min="29" max="29" width="11.57"/>
    <col customWidth="1" min="30" max="31" width="8.71"/>
    <col customWidth="1" min="32" max="32" width="3.86"/>
    <col customWidth="1" min="33" max="33" width="18.57"/>
    <col customWidth="1" min="34" max="35" width="3.86"/>
    <col customWidth="1" min="36" max="36" width="18.57"/>
    <col customWidth="1" min="37" max="38" width="3.86"/>
    <col customWidth="1" min="39" max="39" width="11.57"/>
    <col customWidth="1" min="40" max="41" width="8.71"/>
    <col customWidth="1" min="42" max="42" width="3.86"/>
    <col customWidth="1" min="43" max="43" width="18.57"/>
    <col customWidth="1" min="44" max="45" width="3.86"/>
    <col customWidth="1" min="46" max="46" width="18.57"/>
    <col customWidth="1" min="47" max="48" width="3.86"/>
    <col customWidth="1" min="49" max="49" width="11.57"/>
    <col customWidth="1" min="50" max="51" width="8.71"/>
    <col customWidth="1" min="52" max="52" width="3.86"/>
    <col customWidth="1" min="53" max="53" width="18.57"/>
    <col customWidth="1" min="54" max="55" width="3.86"/>
    <col customWidth="1" min="56" max="56" width="18.57"/>
    <col customWidth="1" min="57" max="58" width="3.86"/>
    <col customWidth="1" min="59" max="59" width="11.57"/>
    <col customWidth="1" min="60" max="61" width="8.71"/>
    <col customWidth="1" min="62" max="62" width="3.86"/>
    <col customWidth="1" min="63" max="63" width="18.57"/>
    <col customWidth="1" min="64" max="65" width="3.86"/>
    <col customWidth="1" min="66" max="66" width="18.57"/>
    <col customWidth="1" min="67" max="68" width="3.86"/>
    <col customWidth="1" min="69" max="69" width="11.57"/>
    <col customWidth="1" min="70" max="71" width="8.71"/>
    <col customWidth="1" min="72" max="72" width="3.86"/>
    <col customWidth="1" min="73" max="73" width="18.57"/>
    <col customWidth="1" min="74" max="75" width="3.86"/>
    <col customWidth="1" min="76" max="76" width="18.57"/>
    <col customWidth="1" min="77" max="78" width="3.86"/>
    <col customWidth="1" min="79" max="79" width="11.57"/>
    <col customWidth="1" min="80" max="82" width="8.71"/>
    <col customWidth="1" min="83" max="83" width="18.71"/>
    <col customWidth="1" min="84" max="85" width="8.71"/>
    <col customWidth="1" min="86" max="86" width="13.86"/>
    <col customWidth="1" min="87" max="101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4" t="s">
        <v>1</v>
      </c>
      <c r="M1" s="2"/>
      <c r="N1" s="2"/>
      <c r="O1" s="2"/>
      <c r="P1" s="2"/>
      <c r="Q1" s="5"/>
      <c r="R1" s="5"/>
      <c r="S1" s="5"/>
      <c r="T1" s="5"/>
      <c r="U1" s="6"/>
      <c r="V1" s="4" t="s">
        <v>1</v>
      </c>
      <c r="W1" s="2"/>
      <c r="X1" s="2"/>
      <c r="Y1" s="2"/>
      <c r="Z1" s="2"/>
      <c r="AA1" s="5"/>
      <c r="AB1" s="5"/>
      <c r="AC1" s="5"/>
      <c r="AD1" s="5"/>
      <c r="AE1" s="6"/>
      <c r="AF1" s="4" t="s">
        <v>1</v>
      </c>
      <c r="AG1" s="2"/>
      <c r="AH1" s="2"/>
      <c r="AI1" s="2"/>
      <c r="AJ1" s="2"/>
      <c r="AK1" s="5"/>
      <c r="AL1" s="5"/>
      <c r="AM1" s="5"/>
      <c r="AN1" s="5"/>
      <c r="AO1" s="6"/>
      <c r="AP1" s="4" t="s">
        <v>1</v>
      </c>
      <c r="AQ1" s="2"/>
      <c r="AR1" s="2"/>
      <c r="AS1" s="2"/>
      <c r="AT1" s="2"/>
      <c r="AU1" s="5"/>
      <c r="AV1" s="5"/>
      <c r="AW1" s="5"/>
      <c r="AX1" s="5"/>
      <c r="AY1" s="6"/>
      <c r="AZ1" s="4" t="s">
        <v>1</v>
      </c>
      <c r="BA1" s="2"/>
      <c r="BB1" s="2"/>
      <c r="BC1" s="2"/>
      <c r="BD1" s="2"/>
      <c r="BE1" s="5"/>
      <c r="BF1" s="5"/>
      <c r="BG1" s="5"/>
      <c r="BH1" s="5"/>
      <c r="BI1" s="6"/>
      <c r="BJ1" s="4" t="s">
        <v>1</v>
      </c>
      <c r="BK1" s="2"/>
      <c r="BL1" s="2"/>
      <c r="BM1" s="2"/>
      <c r="BN1" s="2"/>
      <c r="BO1" s="5"/>
      <c r="BP1" s="5"/>
      <c r="BQ1" s="5"/>
      <c r="BR1" s="5"/>
      <c r="BS1" s="6"/>
      <c r="BT1" s="4" t="s">
        <v>1</v>
      </c>
      <c r="BU1" s="2"/>
      <c r="BV1" s="2"/>
      <c r="BW1" s="2"/>
      <c r="BX1" s="2"/>
      <c r="BY1" s="5"/>
      <c r="BZ1" s="5"/>
      <c r="CA1" s="5"/>
      <c r="CB1" s="5"/>
      <c r="CC1" s="6"/>
      <c r="CD1" s="4" t="s">
        <v>1</v>
      </c>
      <c r="CE1" s="2"/>
      <c r="CF1" s="2"/>
      <c r="CG1" s="2"/>
      <c r="CH1" s="2"/>
      <c r="CI1" s="5"/>
      <c r="CJ1" s="5"/>
      <c r="CK1" s="5"/>
      <c r="CL1" s="5"/>
      <c r="CM1" s="6"/>
      <c r="CN1" s="7" t="s">
        <v>1</v>
      </c>
      <c r="CO1" s="2"/>
      <c r="CP1" s="2"/>
      <c r="CQ1" s="2"/>
      <c r="CR1" s="2"/>
      <c r="CS1" s="8"/>
      <c r="CT1" s="8"/>
      <c r="CU1" s="8"/>
      <c r="CV1" s="8"/>
      <c r="CW1" s="9"/>
    </row>
    <row r="2" ht="15.0" customHeight="1">
      <c r="A2" s="10"/>
      <c r="H2" s="3"/>
      <c r="I2" s="3"/>
      <c r="J2" s="3"/>
      <c r="K2" s="3"/>
      <c r="L2" s="11"/>
      <c r="Q2" s="12"/>
      <c r="R2" s="12"/>
      <c r="S2" s="12"/>
      <c r="T2" s="13"/>
      <c r="U2" s="14"/>
      <c r="V2" s="11"/>
      <c r="AA2" s="12"/>
      <c r="AB2" s="12"/>
      <c r="AC2" s="12"/>
      <c r="AD2" s="13"/>
      <c r="AE2" s="14"/>
      <c r="AF2" s="11"/>
      <c r="AK2" s="12"/>
      <c r="AL2" s="12"/>
      <c r="AM2" s="12"/>
      <c r="AN2" s="13"/>
      <c r="AO2" s="14"/>
      <c r="AP2" s="11"/>
      <c r="AU2" s="12"/>
      <c r="AV2" s="12"/>
      <c r="AW2" s="12"/>
      <c r="AX2" s="13"/>
      <c r="AY2" s="14"/>
      <c r="AZ2" s="11"/>
      <c r="BE2" s="12"/>
      <c r="BF2" s="12"/>
      <c r="BG2" s="12"/>
      <c r="BH2" s="13"/>
      <c r="BI2" s="14"/>
      <c r="BJ2" s="11"/>
      <c r="BO2" s="12"/>
      <c r="BP2" s="12"/>
      <c r="BQ2" s="12"/>
      <c r="BR2" s="13"/>
      <c r="BS2" s="14"/>
      <c r="BT2" s="11"/>
      <c r="BY2" s="12"/>
      <c r="BZ2" s="12"/>
      <c r="CA2" s="12"/>
      <c r="CB2" s="13"/>
      <c r="CC2" s="14"/>
      <c r="CD2" s="11"/>
      <c r="CI2" s="12"/>
      <c r="CJ2" s="12"/>
      <c r="CK2" s="12"/>
      <c r="CL2" s="13"/>
      <c r="CM2" s="14"/>
      <c r="CN2" s="11"/>
      <c r="CS2" s="8"/>
      <c r="CT2" s="8"/>
      <c r="CU2" s="8"/>
      <c r="CV2" s="8"/>
      <c r="CW2" s="9"/>
    </row>
    <row r="3">
      <c r="A3" s="15"/>
      <c r="B3" s="15"/>
      <c r="C3" s="15"/>
      <c r="D3" s="15"/>
      <c r="E3" s="15"/>
      <c r="F3" s="15"/>
      <c r="G3" s="15"/>
      <c r="H3" s="16"/>
      <c r="I3" s="16"/>
      <c r="J3" s="16"/>
      <c r="K3" s="16"/>
      <c r="L3" s="17">
        <v>1.0</v>
      </c>
      <c r="M3" s="18">
        <v>1.0</v>
      </c>
      <c r="N3" s="18">
        <v>1.0</v>
      </c>
      <c r="O3" s="18">
        <v>1.0</v>
      </c>
      <c r="P3" s="18">
        <v>1.0</v>
      </c>
      <c r="Q3" s="18"/>
      <c r="R3" s="18"/>
      <c r="S3" s="18">
        <v>1.0</v>
      </c>
      <c r="T3" s="18">
        <v>1.0</v>
      </c>
      <c r="U3" s="18">
        <v>1.0</v>
      </c>
      <c r="V3" s="17">
        <v>1.0</v>
      </c>
      <c r="W3" s="18">
        <v>1.0</v>
      </c>
      <c r="X3" s="18">
        <v>1.0</v>
      </c>
      <c r="Y3" s="18">
        <v>1.0</v>
      </c>
      <c r="Z3" s="18">
        <v>1.0</v>
      </c>
      <c r="AA3" s="18"/>
      <c r="AB3" s="18"/>
      <c r="AC3" s="18">
        <v>1.0</v>
      </c>
      <c r="AD3" s="18">
        <v>1.0</v>
      </c>
      <c r="AE3" s="18">
        <v>1.0</v>
      </c>
      <c r="AF3" s="17">
        <v>1.0</v>
      </c>
      <c r="AG3" s="18">
        <v>1.0</v>
      </c>
      <c r="AH3" s="18">
        <v>1.0</v>
      </c>
      <c r="AI3" s="18">
        <v>1.0</v>
      </c>
      <c r="AJ3" s="18">
        <v>1.0</v>
      </c>
      <c r="AK3" s="18"/>
      <c r="AL3" s="18"/>
      <c r="AM3" s="18">
        <v>1.0</v>
      </c>
      <c r="AN3" s="18">
        <v>1.0</v>
      </c>
      <c r="AO3" s="18">
        <v>1.0</v>
      </c>
      <c r="AP3" s="17">
        <v>1.0</v>
      </c>
      <c r="AQ3" s="18">
        <v>1.0</v>
      </c>
      <c r="AR3" s="18">
        <v>1.0</v>
      </c>
      <c r="AS3" s="18">
        <v>1.0</v>
      </c>
      <c r="AT3" s="18">
        <v>1.0</v>
      </c>
      <c r="AU3" s="18"/>
      <c r="AV3" s="18"/>
      <c r="AW3" s="18">
        <v>1.0</v>
      </c>
      <c r="AX3" s="18">
        <v>1.0</v>
      </c>
      <c r="AY3" s="18">
        <v>1.0</v>
      </c>
      <c r="AZ3" s="17">
        <v>1.0</v>
      </c>
      <c r="BA3" s="18">
        <v>1.0</v>
      </c>
      <c r="BB3" s="18">
        <v>1.0</v>
      </c>
      <c r="BC3" s="18">
        <v>1.0</v>
      </c>
      <c r="BD3" s="18">
        <v>1.0</v>
      </c>
      <c r="BE3" s="18"/>
      <c r="BF3" s="18"/>
      <c r="BG3" s="18">
        <v>1.0</v>
      </c>
      <c r="BH3" s="18">
        <v>1.0</v>
      </c>
      <c r="BI3" s="18">
        <v>1.0</v>
      </c>
      <c r="BJ3" s="17">
        <v>1.0</v>
      </c>
      <c r="BK3" s="18">
        <v>1.0</v>
      </c>
      <c r="BL3" s="18">
        <v>1.0</v>
      </c>
      <c r="BM3" s="18">
        <v>1.0</v>
      </c>
      <c r="BN3" s="18">
        <v>1.0</v>
      </c>
      <c r="BO3" s="18"/>
      <c r="BP3" s="18"/>
      <c r="BQ3" s="18">
        <v>1.0</v>
      </c>
      <c r="BR3" s="18">
        <v>1.0</v>
      </c>
      <c r="BS3" s="18">
        <v>1.0</v>
      </c>
      <c r="BT3" s="17">
        <v>1.0</v>
      </c>
      <c r="BU3" s="18">
        <v>1.0</v>
      </c>
      <c r="BV3" s="18">
        <v>1.0</v>
      </c>
      <c r="BW3" s="18">
        <v>1.0</v>
      </c>
      <c r="BX3" s="18">
        <v>1.0</v>
      </c>
      <c r="BY3" s="18"/>
      <c r="BZ3" s="18"/>
      <c r="CA3" s="18">
        <v>1.0</v>
      </c>
      <c r="CB3" s="18">
        <v>1.0</v>
      </c>
      <c r="CC3" s="18">
        <v>1.0</v>
      </c>
      <c r="CD3" s="17">
        <v>1.0</v>
      </c>
      <c r="CE3" s="18">
        <v>1.0</v>
      </c>
      <c r="CF3" s="18">
        <v>1.0</v>
      </c>
      <c r="CG3" s="18">
        <v>1.0</v>
      </c>
      <c r="CH3" s="18">
        <v>1.0</v>
      </c>
      <c r="CI3" s="18"/>
      <c r="CJ3" s="18"/>
      <c r="CK3" s="18">
        <v>1.0</v>
      </c>
      <c r="CL3" s="18">
        <v>1.0</v>
      </c>
      <c r="CM3" s="18">
        <v>1.0</v>
      </c>
      <c r="CN3" s="19">
        <v>1.0</v>
      </c>
      <c r="CO3" s="20">
        <v>1.0</v>
      </c>
      <c r="CP3" s="20">
        <v>1.0</v>
      </c>
      <c r="CQ3" s="20">
        <v>1.0</v>
      </c>
      <c r="CR3" s="20">
        <v>1.0</v>
      </c>
      <c r="CS3" s="21"/>
      <c r="CT3" s="21"/>
      <c r="CU3" s="20">
        <v>1.0</v>
      </c>
      <c r="CV3" s="20">
        <v>1.0</v>
      </c>
      <c r="CW3" s="20">
        <v>1.0</v>
      </c>
    </row>
    <row r="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4" t="s">
        <v>2</v>
      </c>
      <c r="N4" s="25" t="s">
        <v>3</v>
      </c>
      <c r="O4" s="26"/>
      <c r="P4" s="26"/>
      <c r="Q4" s="26"/>
      <c r="R4" s="26"/>
      <c r="S4" s="27" t="s">
        <v>4</v>
      </c>
      <c r="T4" s="27" t="s">
        <v>5</v>
      </c>
      <c r="U4" s="27" t="s">
        <v>6</v>
      </c>
      <c r="V4" s="23"/>
      <c r="W4" s="24" t="s">
        <v>2</v>
      </c>
      <c r="X4" s="28" t="s">
        <v>7</v>
      </c>
      <c r="Y4" s="26"/>
      <c r="Z4" s="26"/>
      <c r="AA4" s="26"/>
      <c r="AB4" s="26"/>
      <c r="AC4" s="27" t="s">
        <v>4</v>
      </c>
      <c r="AD4" s="27" t="s">
        <v>5</v>
      </c>
      <c r="AE4" s="27" t="s">
        <v>6</v>
      </c>
      <c r="AF4" s="23"/>
      <c r="AG4" s="24" t="s">
        <v>2</v>
      </c>
      <c r="AH4" s="28" t="s">
        <v>8</v>
      </c>
      <c r="AI4" s="26"/>
      <c r="AJ4" s="26"/>
      <c r="AK4" s="26"/>
      <c r="AL4" s="26"/>
      <c r="AM4" s="27" t="s">
        <v>4</v>
      </c>
      <c r="AN4" s="27" t="s">
        <v>5</v>
      </c>
      <c r="AO4" s="27" t="s">
        <v>6</v>
      </c>
      <c r="AP4" s="23"/>
      <c r="AQ4" s="24" t="s">
        <v>2</v>
      </c>
      <c r="AR4" s="28" t="s">
        <v>9</v>
      </c>
      <c r="AS4" s="26"/>
      <c r="AT4" s="26"/>
      <c r="AU4" s="26"/>
      <c r="AV4" s="26"/>
      <c r="AW4" s="27" t="s">
        <v>4</v>
      </c>
      <c r="AX4" s="27" t="s">
        <v>5</v>
      </c>
      <c r="AY4" s="27" t="s">
        <v>6</v>
      </c>
      <c r="AZ4" s="23"/>
      <c r="BA4" s="24" t="s">
        <v>2</v>
      </c>
      <c r="BB4" s="28" t="s">
        <v>10</v>
      </c>
      <c r="BC4" s="26"/>
      <c r="BD4" s="26"/>
      <c r="BE4" s="26"/>
      <c r="BF4" s="26"/>
      <c r="BG4" s="27" t="s">
        <v>4</v>
      </c>
      <c r="BH4" s="27" t="s">
        <v>5</v>
      </c>
      <c r="BI4" s="27" t="s">
        <v>6</v>
      </c>
      <c r="BJ4" s="23"/>
      <c r="BK4" s="24" t="s">
        <v>2</v>
      </c>
      <c r="BL4" s="28" t="s">
        <v>11</v>
      </c>
      <c r="BM4" s="26"/>
      <c r="BN4" s="26"/>
      <c r="BO4" s="26"/>
      <c r="BP4" s="26"/>
      <c r="BQ4" s="27" t="s">
        <v>4</v>
      </c>
      <c r="BR4" s="27" t="s">
        <v>5</v>
      </c>
      <c r="BS4" s="27" t="s">
        <v>6</v>
      </c>
      <c r="BT4" s="23"/>
      <c r="BU4" s="24" t="s">
        <v>2</v>
      </c>
      <c r="BV4" s="28" t="s">
        <v>12</v>
      </c>
      <c r="BW4" s="26"/>
      <c r="BX4" s="26"/>
      <c r="BY4" s="26"/>
      <c r="BZ4" s="26"/>
      <c r="CA4" s="27" t="s">
        <v>4</v>
      </c>
      <c r="CB4" s="27" t="s">
        <v>5</v>
      </c>
      <c r="CC4" s="27" t="s">
        <v>6</v>
      </c>
      <c r="CD4" s="23"/>
      <c r="CE4" s="24" t="s">
        <v>2</v>
      </c>
      <c r="CF4" s="28" t="s">
        <v>13</v>
      </c>
      <c r="CG4" s="26"/>
      <c r="CH4" s="26"/>
      <c r="CI4" s="26"/>
      <c r="CJ4" s="26"/>
      <c r="CK4" s="27" t="s">
        <v>4</v>
      </c>
      <c r="CL4" s="27" t="s">
        <v>5</v>
      </c>
      <c r="CM4" s="27" t="s">
        <v>6</v>
      </c>
      <c r="CN4" s="29"/>
      <c r="CO4" s="24" t="s">
        <v>2</v>
      </c>
      <c r="CP4" s="30" t="s">
        <v>14</v>
      </c>
      <c r="CQ4" s="31"/>
      <c r="CR4" s="31"/>
      <c r="CS4" s="31"/>
      <c r="CT4" s="31"/>
      <c r="CU4" s="32" t="s">
        <v>4</v>
      </c>
      <c r="CV4" s="32" t="s">
        <v>5</v>
      </c>
      <c r="CW4" s="32" t="s">
        <v>6</v>
      </c>
    </row>
    <row r="5">
      <c r="A5" s="33"/>
      <c r="B5" s="34" t="s">
        <v>15</v>
      </c>
      <c r="C5" s="34" t="s">
        <v>16</v>
      </c>
      <c r="D5" s="35"/>
      <c r="E5" s="35" t="s">
        <v>17</v>
      </c>
      <c r="F5" s="36" t="s">
        <v>18</v>
      </c>
      <c r="G5" s="37"/>
      <c r="H5" s="38" t="s">
        <v>17</v>
      </c>
      <c r="I5" s="34"/>
      <c r="J5" s="34"/>
      <c r="K5" s="33"/>
      <c r="L5" s="23"/>
      <c r="M5" s="26"/>
      <c r="N5" s="39"/>
      <c r="O5" s="26"/>
      <c r="P5" s="26"/>
      <c r="Q5" s="26"/>
      <c r="R5" s="26"/>
      <c r="S5" s="40">
        <f>T5+U5+U97</f>
        <v>21</v>
      </c>
      <c r="T5" s="40">
        <f t="shared" ref="T5:U5" si="1">SUM(T8:T80)</f>
        <v>15</v>
      </c>
      <c r="U5" s="40">
        <f t="shared" si="1"/>
        <v>6</v>
      </c>
      <c r="V5" s="23"/>
      <c r="W5" s="26"/>
      <c r="X5" s="39"/>
      <c r="Y5" s="26"/>
      <c r="Z5" s="26"/>
      <c r="AA5" s="26"/>
      <c r="AB5" s="26"/>
      <c r="AC5" s="40">
        <f>AD5+AE5+AE97</f>
        <v>30</v>
      </c>
      <c r="AD5" s="40">
        <f t="shared" ref="AD5:AE5" si="2">SUM(AD8:AD80)</f>
        <v>27</v>
      </c>
      <c r="AE5" s="40">
        <f t="shared" si="2"/>
        <v>3</v>
      </c>
      <c r="AF5" s="23"/>
      <c r="AG5" s="26"/>
      <c r="AH5" s="39"/>
      <c r="AI5" s="26"/>
      <c r="AJ5" s="26"/>
      <c r="AK5" s="26"/>
      <c r="AL5" s="26"/>
      <c r="AM5" s="40">
        <f>AN5+AO5+AO97</f>
        <v>12</v>
      </c>
      <c r="AN5" s="40">
        <f t="shared" ref="AN5:AO5" si="3">SUM(AN8:AN80)</f>
        <v>12</v>
      </c>
      <c r="AO5" s="40">
        <f t="shared" si="3"/>
        <v>0</v>
      </c>
      <c r="AP5" s="23"/>
      <c r="AQ5" s="26"/>
      <c r="AR5" s="39"/>
      <c r="AS5" s="26"/>
      <c r="AT5" s="26"/>
      <c r="AU5" s="26"/>
      <c r="AV5" s="26"/>
      <c r="AW5" s="40">
        <f>AX5+AY5+AY97</f>
        <v>15</v>
      </c>
      <c r="AX5" s="40">
        <f t="shared" ref="AX5:AY5" si="4">SUM(AX8:AX80)</f>
        <v>15</v>
      </c>
      <c r="AY5" s="40">
        <f t="shared" si="4"/>
        <v>0</v>
      </c>
      <c r="AZ5" s="23"/>
      <c r="BA5" s="26"/>
      <c r="BB5" s="39"/>
      <c r="BC5" s="26"/>
      <c r="BD5" s="26"/>
      <c r="BE5" s="26"/>
      <c r="BF5" s="26"/>
      <c r="BG5" s="40">
        <f>BH5+BI5+BI97</f>
        <v>27</v>
      </c>
      <c r="BH5" s="40">
        <f t="shared" ref="BH5:BI5" si="5">SUM(BH8:BH80)</f>
        <v>21</v>
      </c>
      <c r="BI5" s="40">
        <f t="shared" si="5"/>
        <v>6</v>
      </c>
      <c r="BJ5" s="23"/>
      <c r="BK5" s="26"/>
      <c r="BL5" s="39"/>
      <c r="BM5" s="26"/>
      <c r="BN5" s="26"/>
      <c r="BO5" s="26"/>
      <c r="BP5" s="26"/>
      <c r="BQ5" s="40">
        <f>BR5+BS5+BS97</f>
        <v>18</v>
      </c>
      <c r="BR5" s="40">
        <f t="shared" ref="BR5:BS5" si="6">SUM(BR8:BR80)</f>
        <v>15</v>
      </c>
      <c r="BS5" s="40">
        <f t="shared" si="6"/>
        <v>3</v>
      </c>
      <c r="BT5" s="23"/>
      <c r="BU5" s="26"/>
      <c r="BV5" s="39"/>
      <c r="BW5" s="26"/>
      <c r="BX5" s="26"/>
      <c r="BY5" s="26"/>
      <c r="BZ5" s="26"/>
      <c r="CA5" s="40">
        <f>CB5+CC5+CC97</f>
        <v>18</v>
      </c>
      <c r="CB5" s="40">
        <f t="shared" ref="CB5:CC5" si="7">SUM(CB8:CB80)</f>
        <v>12</v>
      </c>
      <c r="CC5" s="40">
        <f t="shared" si="7"/>
        <v>6</v>
      </c>
      <c r="CD5" s="23"/>
      <c r="CE5" s="26"/>
      <c r="CF5" s="39"/>
      <c r="CG5" s="26"/>
      <c r="CH5" s="26"/>
      <c r="CI5" s="26"/>
      <c r="CJ5" s="26"/>
      <c r="CK5" s="40">
        <f>CL5+CM5+CM97</f>
        <v>21</v>
      </c>
      <c r="CL5" s="40">
        <f t="shared" ref="CL5:CM5" si="8">SUM(CL8:CL80)</f>
        <v>18</v>
      </c>
      <c r="CM5" s="40">
        <f t="shared" si="8"/>
        <v>3</v>
      </c>
      <c r="CN5" s="41"/>
      <c r="CO5" s="42"/>
      <c r="CP5" s="42"/>
      <c r="CQ5" s="42"/>
      <c r="CR5" s="42"/>
      <c r="CS5" s="42"/>
      <c r="CT5" s="42"/>
      <c r="CU5" s="40">
        <f>CV5+CW5+CW97</f>
        <v>0</v>
      </c>
      <c r="CV5" s="40">
        <f t="shared" ref="CV5:CW5" si="9">SUM(CV8:CV80)</f>
        <v>0</v>
      </c>
      <c r="CW5" s="40">
        <f t="shared" si="9"/>
        <v>0</v>
      </c>
    </row>
    <row r="6">
      <c r="A6" s="43" t="s">
        <v>19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5"/>
      <c r="M6" s="46"/>
      <c r="N6" s="46"/>
      <c r="O6" s="46"/>
      <c r="P6" s="46"/>
      <c r="Q6" s="46"/>
      <c r="R6" s="46"/>
      <c r="S6" s="46"/>
      <c r="T6" s="47"/>
      <c r="U6" s="47"/>
      <c r="V6" s="45"/>
      <c r="W6" s="46"/>
      <c r="X6" s="46"/>
      <c r="Y6" s="46"/>
      <c r="Z6" s="46"/>
      <c r="AA6" s="46"/>
      <c r="AB6" s="46"/>
      <c r="AC6" s="46"/>
      <c r="AD6" s="47"/>
      <c r="AE6" s="47"/>
      <c r="AF6" s="45"/>
      <c r="AG6" s="46"/>
      <c r="AH6" s="46"/>
      <c r="AI6" s="46"/>
      <c r="AJ6" s="46"/>
      <c r="AK6" s="46"/>
      <c r="AL6" s="46"/>
      <c r="AM6" s="46"/>
      <c r="AN6" s="47"/>
      <c r="AO6" s="47"/>
      <c r="AP6" s="45"/>
      <c r="AQ6" s="46"/>
      <c r="AR6" s="46"/>
      <c r="AS6" s="46"/>
      <c r="AT6" s="46"/>
      <c r="AU6" s="46"/>
      <c r="AV6" s="46"/>
      <c r="AW6" s="46"/>
      <c r="AX6" s="47"/>
      <c r="AY6" s="47"/>
      <c r="AZ6" s="45"/>
      <c r="BA6" s="46"/>
      <c r="BB6" s="46"/>
      <c r="BC6" s="46"/>
      <c r="BD6" s="46"/>
      <c r="BE6" s="46"/>
      <c r="BF6" s="46"/>
      <c r="BG6" s="46"/>
      <c r="BH6" s="47"/>
      <c r="BI6" s="47"/>
      <c r="BJ6" s="45"/>
      <c r="BK6" s="46"/>
      <c r="BL6" s="46"/>
      <c r="BM6" s="46"/>
      <c r="BN6" s="46"/>
      <c r="BO6" s="46"/>
      <c r="BP6" s="46"/>
      <c r="BQ6" s="46"/>
      <c r="BR6" s="47"/>
      <c r="BS6" s="47"/>
      <c r="BT6" s="45"/>
      <c r="BU6" s="46"/>
      <c r="BV6" s="46"/>
      <c r="BW6" s="46"/>
      <c r="BX6" s="46"/>
      <c r="BY6" s="46"/>
      <c r="BZ6" s="46"/>
      <c r="CA6" s="46"/>
      <c r="CB6" s="47"/>
      <c r="CC6" s="47"/>
      <c r="CD6" s="45"/>
      <c r="CE6" s="46"/>
      <c r="CF6" s="46"/>
      <c r="CG6" s="46"/>
      <c r="CH6" s="46"/>
      <c r="CI6" s="46"/>
      <c r="CJ6" s="46"/>
      <c r="CK6" s="46"/>
      <c r="CL6" s="47"/>
      <c r="CM6" s="47"/>
      <c r="CN6" s="48"/>
      <c r="CO6" s="49"/>
      <c r="CP6" s="49"/>
      <c r="CQ6" s="49"/>
      <c r="CR6" s="49"/>
      <c r="CS6" s="49"/>
      <c r="CT6" s="49"/>
      <c r="CU6" s="49"/>
      <c r="CV6" s="49"/>
      <c r="CW6" s="49"/>
    </row>
    <row r="7">
      <c r="A7" s="50"/>
      <c r="B7" s="51"/>
      <c r="C7" s="51"/>
      <c r="D7" s="51"/>
      <c r="E7" s="51"/>
      <c r="F7" s="51"/>
      <c r="G7" s="51"/>
      <c r="H7" s="51"/>
      <c r="I7" s="51"/>
      <c r="J7" s="51"/>
      <c r="K7" s="52"/>
      <c r="L7" s="53">
        <v>0.0</v>
      </c>
      <c r="M7" s="54"/>
      <c r="N7" s="54"/>
      <c r="O7" s="54"/>
      <c r="P7" s="54"/>
      <c r="Q7" s="54"/>
      <c r="R7" s="54"/>
      <c r="S7" s="54"/>
      <c r="T7" s="55"/>
      <c r="U7" s="56" t="s">
        <v>20</v>
      </c>
      <c r="V7" s="53">
        <v>0.0</v>
      </c>
      <c r="W7" s="54"/>
      <c r="X7" s="54"/>
      <c r="Y7" s="54"/>
      <c r="Z7" s="54"/>
      <c r="AA7" s="54"/>
      <c r="AB7" s="54"/>
      <c r="AC7" s="54"/>
      <c r="AD7" s="55"/>
      <c r="AE7" s="56" t="s">
        <v>20</v>
      </c>
      <c r="AF7" s="53">
        <v>0.0</v>
      </c>
      <c r="AG7" s="54"/>
      <c r="AH7" s="54"/>
      <c r="AI7" s="54"/>
      <c r="AJ7" s="54"/>
      <c r="AK7" s="54"/>
      <c r="AL7" s="54"/>
      <c r="AM7" s="54"/>
      <c r="AN7" s="55"/>
      <c r="AO7" s="56" t="s">
        <v>20</v>
      </c>
      <c r="AP7" s="53">
        <v>0.0</v>
      </c>
      <c r="AQ7" s="54"/>
      <c r="AR7" s="54"/>
      <c r="AS7" s="54"/>
      <c r="AT7" s="54"/>
      <c r="AU7" s="54"/>
      <c r="AV7" s="54"/>
      <c r="AW7" s="54"/>
      <c r="AX7" s="55"/>
      <c r="AY7" s="56" t="s">
        <v>20</v>
      </c>
      <c r="AZ7" s="53">
        <v>0.0</v>
      </c>
      <c r="BA7" s="54"/>
      <c r="BB7" s="54"/>
      <c r="BC7" s="54"/>
      <c r="BD7" s="54"/>
      <c r="BE7" s="54"/>
      <c r="BF7" s="54"/>
      <c r="BG7" s="54"/>
      <c r="BH7" s="55"/>
      <c r="BI7" s="56" t="s">
        <v>20</v>
      </c>
      <c r="BJ7" s="53">
        <v>0.0</v>
      </c>
      <c r="BK7" s="54"/>
      <c r="BL7" s="54"/>
      <c r="BM7" s="54"/>
      <c r="BN7" s="54"/>
      <c r="BO7" s="54"/>
      <c r="BP7" s="54"/>
      <c r="BQ7" s="54"/>
      <c r="BR7" s="55"/>
      <c r="BS7" s="56" t="s">
        <v>20</v>
      </c>
      <c r="BT7" s="53">
        <v>0.0</v>
      </c>
      <c r="BU7" s="54"/>
      <c r="BV7" s="54"/>
      <c r="BW7" s="54"/>
      <c r="BX7" s="54"/>
      <c r="BY7" s="54"/>
      <c r="BZ7" s="54"/>
      <c r="CA7" s="54"/>
      <c r="CB7" s="55"/>
      <c r="CC7" s="56" t="s">
        <v>20</v>
      </c>
      <c r="CD7" s="53">
        <v>0.0</v>
      </c>
      <c r="CE7" s="54"/>
      <c r="CF7" s="54"/>
      <c r="CG7" s="54"/>
      <c r="CH7" s="54"/>
      <c r="CI7" s="54"/>
      <c r="CJ7" s="54"/>
      <c r="CK7" s="54"/>
      <c r="CL7" s="55"/>
      <c r="CM7" s="56" t="s">
        <v>20</v>
      </c>
      <c r="CN7" s="57">
        <v>0.0</v>
      </c>
      <c r="CO7" s="21"/>
      <c r="CP7" s="21"/>
      <c r="CQ7" s="21"/>
      <c r="CR7" s="21"/>
      <c r="CS7" s="21"/>
      <c r="CT7" s="21"/>
      <c r="CU7" s="21"/>
      <c r="CV7" s="21"/>
      <c r="CW7" s="58" t="s">
        <v>20</v>
      </c>
    </row>
    <row r="8">
      <c r="A8" s="50"/>
      <c r="B8" s="59">
        <v>1.0</v>
      </c>
      <c r="C8" s="59" t="s">
        <v>21</v>
      </c>
      <c r="D8" s="60">
        <v>46184.0</v>
      </c>
      <c r="E8" s="61" t="s">
        <v>22</v>
      </c>
      <c r="F8" s="62">
        <v>2.0</v>
      </c>
      <c r="G8" s="62">
        <v>0.0</v>
      </c>
      <c r="H8" s="63" t="s">
        <v>23</v>
      </c>
      <c r="I8" s="33"/>
      <c r="J8" s="33"/>
      <c r="K8" s="52"/>
      <c r="L8" s="64"/>
      <c r="M8" s="65" t="s">
        <v>22</v>
      </c>
      <c r="N8" s="62">
        <v>2.0</v>
      </c>
      <c r="O8" s="62">
        <v>0.0</v>
      </c>
      <c r="P8" s="66" t="s">
        <v>23</v>
      </c>
      <c r="Q8" s="54"/>
      <c r="R8" s="54"/>
      <c r="S8" s="67"/>
      <c r="T8" s="68">
        <v>3.0</v>
      </c>
      <c r="U8" s="69">
        <v>3.0</v>
      </c>
      <c r="V8" s="64"/>
      <c r="W8" s="65" t="s">
        <v>22</v>
      </c>
      <c r="X8" s="62">
        <v>2.0</v>
      </c>
      <c r="Y8" s="62">
        <v>0.0</v>
      </c>
      <c r="Z8" s="66" t="s">
        <v>23</v>
      </c>
      <c r="AA8" s="54"/>
      <c r="AB8" s="54"/>
      <c r="AC8" s="67"/>
      <c r="AD8" s="68">
        <v>3.0</v>
      </c>
      <c r="AE8" s="69">
        <v>3.0</v>
      </c>
      <c r="AF8" s="64"/>
      <c r="AG8" s="65" t="s">
        <v>22</v>
      </c>
      <c r="AH8" s="62">
        <v>0.0</v>
      </c>
      <c r="AI8" s="62">
        <v>3.0</v>
      </c>
      <c r="AJ8" s="66" t="s">
        <v>23</v>
      </c>
      <c r="AK8" s="54"/>
      <c r="AL8" s="54"/>
      <c r="AM8" s="67"/>
      <c r="AN8" s="68">
        <v>0.0</v>
      </c>
      <c r="AO8" s="69">
        <v>0.0</v>
      </c>
      <c r="AP8" s="64"/>
      <c r="AQ8" s="65" t="s">
        <v>22</v>
      </c>
      <c r="AR8" s="62">
        <v>1.0</v>
      </c>
      <c r="AS8" s="62">
        <v>0.0</v>
      </c>
      <c r="AT8" s="66" t="s">
        <v>23</v>
      </c>
      <c r="AU8" s="54"/>
      <c r="AV8" s="54"/>
      <c r="AW8" s="67"/>
      <c r="AX8" s="68">
        <v>3.0</v>
      </c>
      <c r="AY8" s="70"/>
      <c r="AZ8" s="64"/>
      <c r="BA8" s="65" t="s">
        <v>22</v>
      </c>
      <c r="BB8" s="62">
        <v>1.0</v>
      </c>
      <c r="BC8" s="62">
        <v>0.0</v>
      </c>
      <c r="BD8" s="66" t="s">
        <v>23</v>
      </c>
      <c r="BE8" s="54"/>
      <c r="BF8" s="54"/>
      <c r="BG8" s="67"/>
      <c r="BH8" s="68">
        <v>3.0</v>
      </c>
      <c r="BI8" s="70"/>
      <c r="BJ8" s="64"/>
      <c r="BK8" s="65" t="s">
        <v>22</v>
      </c>
      <c r="BL8" s="62">
        <v>0.0</v>
      </c>
      <c r="BM8" s="62">
        <v>2.0</v>
      </c>
      <c r="BN8" s="66" t="s">
        <v>23</v>
      </c>
      <c r="BO8" s="54"/>
      <c r="BP8" s="54"/>
      <c r="BQ8" s="71">
        <v>0.0</v>
      </c>
      <c r="BR8" s="68">
        <v>0.0</v>
      </c>
      <c r="BS8" s="70"/>
      <c r="BT8" s="64"/>
      <c r="BU8" s="65" t="s">
        <v>22</v>
      </c>
      <c r="BV8" s="62">
        <v>0.0</v>
      </c>
      <c r="BW8" s="62">
        <v>0.0</v>
      </c>
      <c r="BX8" s="66" t="s">
        <v>23</v>
      </c>
      <c r="BY8" s="54"/>
      <c r="BZ8" s="54"/>
      <c r="CA8" s="71"/>
      <c r="CB8" s="68">
        <v>0.0</v>
      </c>
      <c r="CC8" s="70"/>
      <c r="CD8" s="64"/>
      <c r="CE8" s="65" t="s">
        <v>22</v>
      </c>
      <c r="CF8" s="62">
        <v>0.0</v>
      </c>
      <c r="CG8" s="62">
        <v>1.0</v>
      </c>
      <c r="CH8" s="66" t="s">
        <v>23</v>
      </c>
      <c r="CI8" s="54"/>
      <c r="CJ8" s="54"/>
      <c r="CK8" s="71"/>
      <c r="CL8" s="68">
        <v>0.0</v>
      </c>
      <c r="CM8" s="70"/>
      <c r="CN8" s="72"/>
      <c r="CO8" s="73" t="s">
        <v>22</v>
      </c>
      <c r="CP8" s="74"/>
      <c r="CQ8" s="74"/>
      <c r="CR8" s="21" t="s">
        <v>23</v>
      </c>
      <c r="CS8" s="21"/>
      <c r="CT8" s="21"/>
      <c r="CU8" s="21"/>
      <c r="CV8" s="75"/>
      <c r="CW8" s="76"/>
    </row>
    <row r="9">
      <c r="A9" s="50"/>
      <c r="B9" s="59">
        <v>2.0</v>
      </c>
      <c r="C9" s="59" t="s">
        <v>21</v>
      </c>
      <c r="D9" s="60">
        <v>46184.0</v>
      </c>
      <c r="E9" s="61" t="s">
        <v>24</v>
      </c>
      <c r="F9" s="62">
        <v>2.0</v>
      </c>
      <c r="G9" s="62">
        <v>1.0</v>
      </c>
      <c r="H9" s="63" t="s">
        <v>25</v>
      </c>
      <c r="I9" s="33"/>
      <c r="J9" s="33"/>
      <c r="K9" s="52"/>
      <c r="L9" s="64"/>
      <c r="M9" s="65" t="s">
        <v>24</v>
      </c>
      <c r="N9" s="62">
        <v>1.0</v>
      </c>
      <c r="O9" s="62">
        <v>1.0</v>
      </c>
      <c r="P9" s="66" t="s">
        <v>25</v>
      </c>
      <c r="Q9" s="54"/>
      <c r="R9" s="54"/>
      <c r="S9" s="67"/>
      <c r="T9" s="68">
        <v>0.0</v>
      </c>
      <c r="U9" s="70"/>
      <c r="V9" s="64"/>
      <c r="W9" s="65" t="s">
        <v>24</v>
      </c>
      <c r="X9" s="62">
        <v>1.0</v>
      </c>
      <c r="Y9" s="62">
        <v>2.0</v>
      </c>
      <c r="Z9" s="66" t="s">
        <v>25</v>
      </c>
      <c r="AA9" s="54"/>
      <c r="AB9" s="54"/>
      <c r="AC9" s="67"/>
      <c r="AD9" s="68">
        <v>0.0</v>
      </c>
      <c r="AE9" s="70"/>
      <c r="AF9" s="64"/>
      <c r="AG9" s="65" t="s">
        <v>24</v>
      </c>
      <c r="AH9" s="62">
        <v>1.0</v>
      </c>
      <c r="AI9" s="62">
        <v>1.0</v>
      </c>
      <c r="AJ9" s="66" t="s">
        <v>25</v>
      </c>
      <c r="AK9" s="54"/>
      <c r="AL9" s="54"/>
      <c r="AM9" s="67"/>
      <c r="AN9" s="68">
        <v>0.0</v>
      </c>
      <c r="AO9" s="70"/>
      <c r="AP9" s="64"/>
      <c r="AQ9" s="65" t="s">
        <v>24</v>
      </c>
      <c r="AR9" s="62">
        <v>0.0</v>
      </c>
      <c r="AS9" s="62">
        <v>2.0</v>
      </c>
      <c r="AT9" s="66" t="s">
        <v>25</v>
      </c>
      <c r="AU9" s="54"/>
      <c r="AV9" s="54"/>
      <c r="AW9" s="67"/>
      <c r="AX9" s="68">
        <v>0.0</v>
      </c>
      <c r="AY9" s="70"/>
      <c r="AZ9" s="64"/>
      <c r="BA9" s="65" t="s">
        <v>24</v>
      </c>
      <c r="BB9" s="62">
        <v>1.0</v>
      </c>
      <c r="BC9" s="62">
        <v>1.0</v>
      </c>
      <c r="BD9" s="66" t="s">
        <v>25</v>
      </c>
      <c r="BE9" s="54"/>
      <c r="BF9" s="54"/>
      <c r="BG9" s="67"/>
      <c r="BH9" s="68">
        <v>0.0</v>
      </c>
      <c r="BI9" s="70"/>
      <c r="BJ9" s="64"/>
      <c r="BK9" s="65" t="s">
        <v>24</v>
      </c>
      <c r="BL9" s="62">
        <v>3.0</v>
      </c>
      <c r="BM9" s="62">
        <v>1.0</v>
      </c>
      <c r="BN9" s="66" t="s">
        <v>25</v>
      </c>
      <c r="BO9" s="54"/>
      <c r="BP9" s="54"/>
      <c r="BQ9" s="67"/>
      <c r="BR9" s="68">
        <v>3.0</v>
      </c>
      <c r="BS9" s="70"/>
      <c r="BT9" s="64"/>
      <c r="BU9" s="65" t="s">
        <v>24</v>
      </c>
      <c r="BV9" s="62">
        <v>1.0</v>
      </c>
      <c r="BW9" s="62">
        <v>2.0</v>
      </c>
      <c r="BX9" s="66" t="s">
        <v>25</v>
      </c>
      <c r="BY9" s="54"/>
      <c r="BZ9" s="54"/>
      <c r="CA9" s="67"/>
      <c r="CB9" s="68">
        <v>0.0</v>
      </c>
      <c r="CC9" s="70"/>
      <c r="CD9" s="64"/>
      <c r="CE9" s="65" t="s">
        <v>24</v>
      </c>
      <c r="CF9" s="62">
        <v>2.0</v>
      </c>
      <c r="CG9" s="62">
        <v>1.0</v>
      </c>
      <c r="CH9" s="66" t="s">
        <v>25</v>
      </c>
      <c r="CI9" s="54"/>
      <c r="CJ9" s="54"/>
      <c r="CK9" s="67"/>
      <c r="CL9" s="68">
        <v>3.0</v>
      </c>
      <c r="CM9" s="69">
        <v>3.0</v>
      </c>
      <c r="CN9" s="72"/>
      <c r="CO9" s="73" t="s">
        <v>24</v>
      </c>
      <c r="CP9" s="74"/>
      <c r="CQ9" s="74"/>
      <c r="CR9" s="21" t="s">
        <v>25</v>
      </c>
      <c r="CS9" s="21"/>
      <c r="CT9" s="21"/>
      <c r="CU9" s="21"/>
      <c r="CV9" s="75"/>
      <c r="CW9" s="76"/>
    </row>
    <row r="10">
      <c r="A10" s="50"/>
      <c r="B10" s="59">
        <v>3.0</v>
      </c>
      <c r="C10" s="59" t="s">
        <v>26</v>
      </c>
      <c r="D10" s="60">
        <v>46185.0</v>
      </c>
      <c r="E10" s="61" t="s">
        <v>27</v>
      </c>
      <c r="F10" s="62">
        <v>1.0</v>
      </c>
      <c r="G10" s="62">
        <v>1.0</v>
      </c>
      <c r="H10" s="63" t="s">
        <v>28</v>
      </c>
      <c r="I10" s="33"/>
      <c r="J10" s="33"/>
      <c r="K10" s="52"/>
      <c r="L10" s="64"/>
      <c r="M10" s="65" t="s">
        <v>27</v>
      </c>
      <c r="N10" s="62">
        <v>0.0</v>
      </c>
      <c r="O10" s="62">
        <v>2.0</v>
      </c>
      <c r="P10" s="66" t="s">
        <v>28</v>
      </c>
      <c r="Q10" s="54"/>
      <c r="R10" s="54"/>
      <c r="S10" s="67"/>
      <c r="T10" s="68">
        <v>0.0</v>
      </c>
      <c r="U10" s="70"/>
      <c r="V10" s="64"/>
      <c r="W10" s="65" t="s">
        <v>27</v>
      </c>
      <c r="X10" s="62">
        <v>1.0</v>
      </c>
      <c r="Y10" s="62">
        <v>0.0</v>
      </c>
      <c r="Z10" s="66" t="s">
        <v>28</v>
      </c>
      <c r="AA10" s="54"/>
      <c r="AB10" s="54"/>
      <c r="AC10" s="67"/>
      <c r="AD10" s="68">
        <v>0.0</v>
      </c>
      <c r="AE10" s="70"/>
      <c r="AF10" s="64"/>
      <c r="AG10" s="65" t="s">
        <v>27</v>
      </c>
      <c r="AH10" s="62">
        <v>2.0</v>
      </c>
      <c r="AI10" s="62">
        <v>1.0</v>
      </c>
      <c r="AJ10" s="66" t="s">
        <v>28</v>
      </c>
      <c r="AK10" s="54"/>
      <c r="AL10" s="54"/>
      <c r="AM10" s="67"/>
      <c r="AN10" s="68">
        <v>0.0</v>
      </c>
      <c r="AO10" s="70"/>
      <c r="AP10" s="64"/>
      <c r="AQ10" s="65" t="s">
        <v>27</v>
      </c>
      <c r="AR10" s="62">
        <v>3.0</v>
      </c>
      <c r="AS10" s="62">
        <v>1.0</v>
      </c>
      <c r="AT10" s="66" t="s">
        <v>28</v>
      </c>
      <c r="AU10" s="54"/>
      <c r="AV10" s="54"/>
      <c r="AW10" s="67"/>
      <c r="AX10" s="68">
        <v>0.0</v>
      </c>
      <c r="AY10" s="70"/>
      <c r="AZ10" s="64"/>
      <c r="BA10" s="65" t="s">
        <v>27</v>
      </c>
      <c r="BB10" s="62">
        <v>2.0</v>
      </c>
      <c r="BC10" s="62">
        <v>1.0</v>
      </c>
      <c r="BD10" s="66" t="s">
        <v>28</v>
      </c>
      <c r="BE10" s="54"/>
      <c r="BF10" s="54"/>
      <c r="BG10" s="67"/>
      <c r="BH10" s="68">
        <v>0.0</v>
      </c>
      <c r="BI10" s="70"/>
      <c r="BJ10" s="64"/>
      <c r="BK10" s="65" t="s">
        <v>27</v>
      </c>
      <c r="BL10" s="62">
        <v>1.0</v>
      </c>
      <c r="BM10" s="62">
        <v>0.0</v>
      </c>
      <c r="BN10" s="66" t="s">
        <v>28</v>
      </c>
      <c r="BO10" s="54"/>
      <c r="BP10" s="54"/>
      <c r="BQ10" s="67"/>
      <c r="BR10" s="68">
        <v>0.0</v>
      </c>
      <c r="BS10" s="70"/>
      <c r="BT10" s="64"/>
      <c r="BU10" s="65" t="s">
        <v>27</v>
      </c>
      <c r="BV10" s="62">
        <v>0.0</v>
      </c>
      <c r="BW10" s="62">
        <v>1.0</v>
      </c>
      <c r="BX10" s="66" t="s">
        <v>28</v>
      </c>
      <c r="BY10" s="54"/>
      <c r="BZ10" s="54"/>
      <c r="CA10" s="67"/>
      <c r="CB10" s="68">
        <v>0.0</v>
      </c>
      <c r="CC10" s="70"/>
      <c r="CD10" s="64"/>
      <c r="CE10" s="65" t="s">
        <v>27</v>
      </c>
      <c r="CF10" s="62">
        <v>0.0</v>
      </c>
      <c r="CG10" s="62">
        <v>1.0</v>
      </c>
      <c r="CH10" s="66" t="s">
        <v>28</v>
      </c>
      <c r="CI10" s="54"/>
      <c r="CJ10" s="54"/>
      <c r="CK10" s="67"/>
      <c r="CL10" s="68">
        <v>0.0</v>
      </c>
      <c r="CM10" s="70"/>
      <c r="CN10" s="72"/>
      <c r="CO10" s="73" t="s">
        <v>27</v>
      </c>
      <c r="CP10" s="74"/>
      <c r="CQ10" s="74"/>
      <c r="CR10" s="21" t="s">
        <v>28</v>
      </c>
      <c r="CS10" s="21"/>
      <c r="CT10" s="21"/>
      <c r="CU10" s="21"/>
      <c r="CV10" s="75"/>
      <c r="CW10" s="76"/>
    </row>
    <row r="11">
      <c r="A11" s="50"/>
      <c r="B11" s="59">
        <v>4.0</v>
      </c>
      <c r="C11" s="59" t="s">
        <v>29</v>
      </c>
      <c r="D11" s="60">
        <v>46185.0</v>
      </c>
      <c r="E11" s="61" t="s">
        <v>30</v>
      </c>
      <c r="F11" s="62">
        <v>4.0</v>
      </c>
      <c r="G11" s="62">
        <v>1.0</v>
      </c>
      <c r="H11" s="63" t="s">
        <v>31</v>
      </c>
      <c r="I11" s="33"/>
      <c r="J11" s="33"/>
      <c r="K11" s="52"/>
      <c r="L11" s="64"/>
      <c r="M11" s="65" t="s">
        <v>30</v>
      </c>
      <c r="N11" s="62">
        <v>1.0</v>
      </c>
      <c r="O11" s="62">
        <v>0.0</v>
      </c>
      <c r="P11" s="66" t="s">
        <v>31</v>
      </c>
      <c r="Q11" s="54"/>
      <c r="R11" s="54"/>
      <c r="S11" s="67"/>
      <c r="T11" s="68">
        <v>3.0</v>
      </c>
      <c r="U11" s="70"/>
      <c r="V11" s="64"/>
      <c r="W11" s="65" t="s">
        <v>30</v>
      </c>
      <c r="X11" s="62">
        <v>2.0</v>
      </c>
      <c r="Y11" s="62">
        <v>1.0</v>
      </c>
      <c r="Z11" s="66" t="s">
        <v>31</v>
      </c>
      <c r="AA11" s="54"/>
      <c r="AB11" s="54"/>
      <c r="AC11" s="67"/>
      <c r="AD11" s="68">
        <v>3.0</v>
      </c>
      <c r="AE11" s="70"/>
      <c r="AF11" s="64"/>
      <c r="AG11" s="65" t="s">
        <v>30</v>
      </c>
      <c r="AH11" s="62">
        <v>0.0</v>
      </c>
      <c r="AI11" s="62">
        <v>2.0</v>
      </c>
      <c r="AJ11" s="66" t="s">
        <v>31</v>
      </c>
      <c r="AK11" s="54"/>
      <c r="AL11" s="54"/>
      <c r="AM11" s="67"/>
      <c r="AN11" s="68">
        <v>0.0</v>
      </c>
      <c r="AO11" s="70"/>
      <c r="AP11" s="64"/>
      <c r="AQ11" s="65" t="s">
        <v>30</v>
      </c>
      <c r="AR11" s="62">
        <v>2.0</v>
      </c>
      <c r="AS11" s="62">
        <v>1.0</v>
      </c>
      <c r="AT11" s="66" t="s">
        <v>31</v>
      </c>
      <c r="AU11" s="54"/>
      <c r="AV11" s="54"/>
      <c r="AW11" s="67"/>
      <c r="AX11" s="68">
        <v>3.0</v>
      </c>
      <c r="AY11" s="70"/>
      <c r="AZ11" s="64"/>
      <c r="BA11" s="65" t="s">
        <v>30</v>
      </c>
      <c r="BB11" s="62">
        <v>1.0</v>
      </c>
      <c r="BC11" s="62">
        <v>0.0</v>
      </c>
      <c r="BD11" s="66" t="s">
        <v>31</v>
      </c>
      <c r="BE11" s="54"/>
      <c r="BF11" s="54"/>
      <c r="BG11" s="67"/>
      <c r="BH11" s="68">
        <v>3.0</v>
      </c>
      <c r="BI11" s="70"/>
      <c r="BJ11" s="64"/>
      <c r="BK11" s="65" t="s">
        <v>30</v>
      </c>
      <c r="BL11" s="62">
        <v>0.0</v>
      </c>
      <c r="BM11" s="62">
        <v>2.0</v>
      </c>
      <c r="BN11" s="66" t="s">
        <v>31</v>
      </c>
      <c r="BO11" s="54"/>
      <c r="BP11" s="54"/>
      <c r="BQ11" s="67"/>
      <c r="BR11" s="68">
        <v>0.0</v>
      </c>
      <c r="BS11" s="70"/>
      <c r="BT11" s="64"/>
      <c r="BU11" s="65" t="s">
        <v>30</v>
      </c>
      <c r="BV11" s="62">
        <v>2.0</v>
      </c>
      <c r="BW11" s="62">
        <v>0.0</v>
      </c>
      <c r="BX11" s="66" t="s">
        <v>31</v>
      </c>
      <c r="BY11" s="54"/>
      <c r="BZ11" s="54"/>
      <c r="CA11" s="67"/>
      <c r="CB11" s="68">
        <v>3.0</v>
      </c>
      <c r="CC11" s="70"/>
      <c r="CD11" s="64"/>
      <c r="CE11" s="65" t="s">
        <v>30</v>
      </c>
      <c r="CF11" s="62">
        <v>1.0</v>
      </c>
      <c r="CG11" s="62">
        <v>1.0</v>
      </c>
      <c r="CH11" s="66" t="s">
        <v>31</v>
      </c>
      <c r="CI11" s="54"/>
      <c r="CJ11" s="54"/>
      <c r="CK11" s="67"/>
      <c r="CL11" s="68">
        <v>0.0</v>
      </c>
      <c r="CM11" s="70"/>
      <c r="CN11" s="72"/>
      <c r="CO11" s="73" t="s">
        <v>30</v>
      </c>
      <c r="CP11" s="74"/>
      <c r="CQ11" s="74"/>
      <c r="CR11" s="21" t="s">
        <v>31</v>
      </c>
      <c r="CS11" s="21"/>
      <c r="CT11" s="21"/>
      <c r="CU11" s="21"/>
      <c r="CV11" s="75"/>
      <c r="CW11" s="76"/>
    </row>
    <row r="12">
      <c r="A12" s="50"/>
      <c r="B12" s="59">
        <v>5.0</v>
      </c>
      <c r="C12" s="59" t="s">
        <v>32</v>
      </c>
      <c r="D12" s="60">
        <v>46186.0</v>
      </c>
      <c r="E12" s="61" t="s">
        <v>33</v>
      </c>
      <c r="F12" s="62">
        <v>0.0</v>
      </c>
      <c r="G12" s="62">
        <v>1.0</v>
      </c>
      <c r="H12" s="63" t="s">
        <v>34</v>
      </c>
      <c r="I12" s="33"/>
      <c r="J12" s="33"/>
      <c r="K12" s="52"/>
      <c r="L12" s="64"/>
      <c r="M12" s="65" t="s">
        <v>33</v>
      </c>
      <c r="N12" s="62">
        <v>0.0</v>
      </c>
      <c r="O12" s="62">
        <v>5.0</v>
      </c>
      <c r="P12" s="66" t="s">
        <v>34</v>
      </c>
      <c r="Q12" s="54"/>
      <c r="R12" s="54"/>
      <c r="S12" s="67"/>
      <c r="T12" s="68">
        <v>3.0</v>
      </c>
      <c r="U12" s="70"/>
      <c r="V12" s="64"/>
      <c r="W12" s="65" t="s">
        <v>33</v>
      </c>
      <c r="X12" s="62">
        <v>1.0</v>
      </c>
      <c r="Y12" s="62">
        <v>3.0</v>
      </c>
      <c r="Z12" s="66" t="s">
        <v>34</v>
      </c>
      <c r="AA12" s="54"/>
      <c r="AB12" s="54"/>
      <c r="AC12" s="67"/>
      <c r="AD12" s="68">
        <v>3.0</v>
      </c>
      <c r="AE12" s="70"/>
      <c r="AF12" s="64"/>
      <c r="AG12" s="65" t="s">
        <v>33</v>
      </c>
      <c r="AH12" s="62">
        <v>1.0</v>
      </c>
      <c r="AI12" s="62">
        <v>2.0</v>
      </c>
      <c r="AJ12" s="66" t="s">
        <v>34</v>
      </c>
      <c r="AK12" s="54"/>
      <c r="AL12" s="54"/>
      <c r="AM12" s="67"/>
      <c r="AN12" s="68">
        <v>3.0</v>
      </c>
      <c r="AO12" s="70"/>
      <c r="AP12" s="64"/>
      <c r="AQ12" s="65" t="s">
        <v>33</v>
      </c>
      <c r="AR12" s="62">
        <v>0.0</v>
      </c>
      <c r="AS12" s="62">
        <v>3.0</v>
      </c>
      <c r="AT12" s="66" t="s">
        <v>34</v>
      </c>
      <c r="AU12" s="54"/>
      <c r="AV12" s="54"/>
      <c r="AW12" s="67"/>
      <c r="AX12" s="68">
        <v>3.0</v>
      </c>
      <c r="AY12" s="70"/>
      <c r="AZ12" s="64"/>
      <c r="BA12" s="65" t="s">
        <v>33</v>
      </c>
      <c r="BB12" s="62">
        <v>1.0</v>
      </c>
      <c r="BC12" s="62">
        <v>3.0</v>
      </c>
      <c r="BD12" s="66" t="s">
        <v>34</v>
      </c>
      <c r="BE12" s="54"/>
      <c r="BF12" s="54"/>
      <c r="BG12" s="67"/>
      <c r="BH12" s="68">
        <v>3.0</v>
      </c>
      <c r="BI12" s="70"/>
      <c r="BJ12" s="64"/>
      <c r="BK12" s="65" t="s">
        <v>33</v>
      </c>
      <c r="BL12" s="62">
        <v>1.0</v>
      </c>
      <c r="BM12" s="62">
        <v>2.0</v>
      </c>
      <c r="BN12" s="66" t="s">
        <v>34</v>
      </c>
      <c r="BO12" s="54"/>
      <c r="BP12" s="54"/>
      <c r="BQ12" s="67"/>
      <c r="BR12" s="68">
        <v>3.0</v>
      </c>
      <c r="BS12" s="70"/>
      <c r="BT12" s="64"/>
      <c r="BU12" s="65" t="s">
        <v>33</v>
      </c>
      <c r="BV12" s="62">
        <v>0.0</v>
      </c>
      <c r="BW12" s="62">
        <v>1.0</v>
      </c>
      <c r="BX12" s="66" t="s">
        <v>34</v>
      </c>
      <c r="BY12" s="54"/>
      <c r="BZ12" s="54"/>
      <c r="CA12" s="67"/>
      <c r="CB12" s="68">
        <v>3.0</v>
      </c>
      <c r="CC12" s="69">
        <v>3.0</v>
      </c>
      <c r="CD12" s="64"/>
      <c r="CE12" s="65" t="s">
        <v>33</v>
      </c>
      <c r="CF12" s="62">
        <v>1.0</v>
      </c>
      <c r="CG12" s="62">
        <v>2.0</v>
      </c>
      <c r="CH12" s="66" t="s">
        <v>34</v>
      </c>
      <c r="CI12" s="54"/>
      <c r="CJ12" s="54"/>
      <c r="CK12" s="67"/>
      <c r="CL12" s="68">
        <v>3.0</v>
      </c>
      <c r="CM12" s="70"/>
      <c r="CN12" s="72"/>
      <c r="CO12" s="73" t="s">
        <v>33</v>
      </c>
      <c r="CP12" s="74"/>
      <c r="CQ12" s="74"/>
      <c r="CR12" s="21" t="s">
        <v>34</v>
      </c>
      <c r="CS12" s="21"/>
      <c r="CT12" s="21"/>
      <c r="CU12" s="21"/>
      <c r="CV12" s="75"/>
      <c r="CW12" s="76"/>
    </row>
    <row r="13">
      <c r="A13" s="50"/>
      <c r="B13" s="59">
        <v>6.0</v>
      </c>
      <c r="C13" s="59" t="s">
        <v>29</v>
      </c>
      <c r="D13" s="60">
        <v>46186.0</v>
      </c>
      <c r="E13" s="61" t="s">
        <v>35</v>
      </c>
      <c r="F13" s="62">
        <v>2.0</v>
      </c>
      <c r="G13" s="62">
        <v>0.0</v>
      </c>
      <c r="H13" s="63" t="s">
        <v>36</v>
      </c>
      <c r="I13" s="33"/>
      <c r="J13" s="33"/>
      <c r="K13" s="52"/>
      <c r="L13" s="64"/>
      <c r="M13" s="65" t="s">
        <v>35</v>
      </c>
      <c r="N13" s="62">
        <v>0.0</v>
      </c>
      <c r="O13" s="62">
        <v>3.0</v>
      </c>
      <c r="P13" s="66" t="s">
        <v>36</v>
      </c>
      <c r="Q13" s="54"/>
      <c r="R13" s="54"/>
      <c r="S13" s="67"/>
      <c r="T13" s="68">
        <v>0.0</v>
      </c>
      <c r="U13" s="70"/>
      <c r="V13" s="64"/>
      <c r="W13" s="65" t="s">
        <v>35</v>
      </c>
      <c r="X13" s="62">
        <v>2.0</v>
      </c>
      <c r="Y13" s="62">
        <v>1.0</v>
      </c>
      <c r="Z13" s="66" t="s">
        <v>36</v>
      </c>
      <c r="AA13" s="54"/>
      <c r="AB13" s="54"/>
      <c r="AC13" s="67"/>
      <c r="AD13" s="68">
        <v>3.0</v>
      </c>
      <c r="AE13" s="70"/>
      <c r="AF13" s="64"/>
      <c r="AG13" s="65" t="s">
        <v>35</v>
      </c>
      <c r="AH13" s="62">
        <v>1.0</v>
      </c>
      <c r="AI13" s="62">
        <v>1.0</v>
      </c>
      <c r="AJ13" s="66" t="s">
        <v>36</v>
      </c>
      <c r="AK13" s="54"/>
      <c r="AL13" s="54"/>
      <c r="AM13" s="67"/>
      <c r="AN13" s="68">
        <v>0.0</v>
      </c>
      <c r="AO13" s="70"/>
      <c r="AP13" s="64"/>
      <c r="AQ13" s="65" t="s">
        <v>35</v>
      </c>
      <c r="AR13" s="62">
        <v>0.0</v>
      </c>
      <c r="AS13" s="62">
        <v>0.0</v>
      </c>
      <c r="AT13" s="66" t="s">
        <v>36</v>
      </c>
      <c r="AU13" s="54"/>
      <c r="AV13" s="54"/>
      <c r="AW13" s="67"/>
      <c r="AX13" s="68">
        <v>0.0</v>
      </c>
      <c r="AY13" s="70"/>
      <c r="AZ13" s="64"/>
      <c r="BA13" s="65" t="s">
        <v>35</v>
      </c>
      <c r="BB13" s="62">
        <v>0.0</v>
      </c>
      <c r="BC13" s="62">
        <v>2.0</v>
      </c>
      <c r="BD13" s="66" t="s">
        <v>36</v>
      </c>
      <c r="BE13" s="54"/>
      <c r="BF13" s="54"/>
      <c r="BG13" s="67"/>
      <c r="BH13" s="68">
        <v>0.0</v>
      </c>
      <c r="BI13" s="70"/>
      <c r="BJ13" s="64"/>
      <c r="BK13" s="65" t="s">
        <v>35</v>
      </c>
      <c r="BL13" s="62">
        <v>0.0</v>
      </c>
      <c r="BM13" s="62">
        <v>1.0</v>
      </c>
      <c r="BN13" s="66" t="s">
        <v>36</v>
      </c>
      <c r="BO13" s="54"/>
      <c r="BP13" s="54"/>
      <c r="BQ13" s="67"/>
      <c r="BR13" s="68">
        <v>0.0</v>
      </c>
      <c r="BS13" s="70"/>
      <c r="BT13" s="64"/>
      <c r="BU13" s="65" t="s">
        <v>35</v>
      </c>
      <c r="BV13" s="62">
        <v>0.0</v>
      </c>
      <c r="BW13" s="62">
        <v>3.0</v>
      </c>
      <c r="BX13" s="66" t="s">
        <v>36</v>
      </c>
      <c r="BY13" s="54"/>
      <c r="BZ13" s="54"/>
      <c r="CA13" s="67"/>
      <c r="CB13" s="68">
        <v>0.0</v>
      </c>
      <c r="CC13" s="70"/>
      <c r="CD13" s="64"/>
      <c r="CE13" s="65" t="s">
        <v>35</v>
      </c>
      <c r="CF13" s="62">
        <v>0.0</v>
      </c>
      <c r="CG13" s="62">
        <v>2.0</v>
      </c>
      <c r="CH13" s="66" t="s">
        <v>36</v>
      </c>
      <c r="CI13" s="54"/>
      <c r="CJ13" s="54"/>
      <c r="CK13" s="67"/>
      <c r="CL13" s="68">
        <v>0.0</v>
      </c>
      <c r="CM13" s="70"/>
      <c r="CN13" s="72"/>
      <c r="CO13" s="73" t="s">
        <v>35</v>
      </c>
      <c r="CP13" s="74"/>
      <c r="CQ13" s="74"/>
      <c r="CR13" s="21" t="s">
        <v>36</v>
      </c>
      <c r="CS13" s="21"/>
      <c r="CT13" s="21"/>
      <c r="CU13" s="21"/>
      <c r="CV13" s="75"/>
      <c r="CW13" s="76"/>
    </row>
    <row r="14">
      <c r="A14" s="50"/>
      <c r="B14" s="59">
        <v>7.0</v>
      </c>
      <c r="C14" s="59" t="s">
        <v>32</v>
      </c>
      <c r="D14" s="60">
        <v>46186.0</v>
      </c>
      <c r="E14" s="61" t="s">
        <v>37</v>
      </c>
      <c r="F14" s="62">
        <v>1.0</v>
      </c>
      <c r="G14" s="62">
        <v>1.0</v>
      </c>
      <c r="H14" s="63" t="s">
        <v>38</v>
      </c>
      <c r="I14" s="33"/>
      <c r="J14" s="33"/>
      <c r="K14" s="52"/>
      <c r="L14" s="64"/>
      <c r="M14" s="65" t="s">
        <v>37</v>
      </c>
      <c r="N14" s="62">
        <v>2.0</v>
      </c>
      <c r="O14" s="62">
        <v>1.0</v>
      </c>
      <c r="P14" s="66" t="s">
        <v>38</v>
      </c>
      <c r="Q14" s="54"/>
      <c r="R14" s="54"/>
      <c r="S14" s="67"/>
      <c r="T14" s="68">
        <v>0.0</v>
      </c>
      <c r="U14" s="70"/>
      <c r="V14" s="64"/>
      <c r="W14" s="65" t="s">
        <v>37</v>
      </c>
      <c r="X14" s="62">
        <v>2.0</v>
      </c>
      <c r="Y14" s="62">
        <v>2.0</v>
      </c>
      <c r="Z14" s="66" t="s">
        <v>38</v>
      </c>
      <c r="AA14" s="54"/>
      <c r="AB14" s="54"/>
      <c r="AC14" s="67"/>
      <c r="AD14" s="68">
        <v>3.0</v>
      </c>
      <c r="AE14" s="70"/>
      <c r="AF14" s="64"/>
      <c r="AG14" s="65" t="s">
        <v>37</v>
      </c>
      <c r="AH14" s="62">
        <v>4.0</v>
      </c>
      <c r="AI14" s="62">
        <v>1.0</v>
      </c>
      <c r="AJ14" s="66" t="s">
        <v>38</v>
      </c>
      <c r="AK14" s="54"/>
      <c r="AL14" s="54"/>
      <c r="AM14" s="67"/>
      <c r="AN14" s="68">
        <v>0.0</v>
      </c>
      <c r="AO14" s="70"/>
      <c r="AP14" s="64"/>
      <c r="AQ14" s="65" t="s">
        <v>37</v>
      </c>
      <c r="AR14" s="62">
        <v>3.0</v>
      </c>
      <c r="AS14" s="62">
        <v>2.0</v>
      </c>
      <c r="AT14" s="66" t="s">
        <v>38</v>
      </c>
      <c r="AU14" s="54"/>
      <c r="AV14" s="54"/>
      <c r="AW14" s="67"/>
      <c r="AX14" s="68">
        <v>0.0</v>
      </c>
      <c r="AY14" s="70"/>
      <c r="AZ14" s="64"/>
      <c r="BA14" s="65" t="s">
        <v>37</v>
      </c>
      <c r="BB14" s="62">
        <v>1.0</v>
      </c>
      <c r="BC14" s="62">
        <v>2.0</v>
      </c>
      <c r="BD14" s="66" t="s">
        <v>38</v>
      </c>
      <c r="BE14" s="54"/>
      <c r="BF14" s="54"/>
      <c r="BG14" s="67"/>
      <c r="BH14" s="68">
        <v>0.0</v>
      </c>
      <c r="BI14" s="70"/>
      <c r="BJ14" s="64"/>
      <c r="BK14" s="65" t="s">
        <v>37</v>
      </c>
      <c r="BL14" s="62">
        <v>3.0</v>
      </c>
      <c r="BM14" s="62">
        <v>1.0</v>
      </c>
      <c r="BN14" s="66" t="s">
        <v>38</v>
      </c>
      <c r="BO14" s="54"/>
      <c r="BP14" s="54"/>
      <c r="BQ14" s="67"/>
      <c r="BR14" s="68">
        <v>0.0</v>
      </c>
      <c r="BS14" s="70"/>
      <c r="BT14" s="64"/>
      <c r="BU14" s="65" t="s">
        <v>37</v>
      </c>
      <c r="BV14" s="62">
        <v>1.0</v>
      </c>
      <c r="BW14" s="62">
        <v>2.0</v>
      </c>
      <c r="BX14" s="66" t="s">
        <v>38</v>
      </c>
      <c r="BY14" s="54"/>
      <c r="BZ14" s="54"/>
      <c r="CA14" s="67"/>
      <c r="CB14" s="68">
        <v>0.0</v>
      </c>
      <c r="CC14" s="70"/>
      <c r="CD14" s="64"/>
      <c r="CE14" s="65" t="s">
        <v>37</v>
      </c>
      <c r="CF14" s="62">
        <v>2.0</v>
      </c>
      <c r="CG14" s="62">
        <v>1.0</v>
      </c>
      <c r="CH14" s="66" t="s">
        <v>38</v>
      </c>
      <c r="CI14" s="54"/>
      <c r="CJ14" s="54"/>
      <c r="CK14" s="67"/>
      <c r="CL14" s="68">
        <v>0.0</v>
      </c>
      <c r="CM14" s="70"/>
      <c r="CN14" s="72"/>
      <c r="CO14" s="73" t="s">
        <v>37</v>
      </c>
      <c r="CP14" s="74"/>
      <c r="CQ14" s="74"/>
      <c r="CR14" s="21" t="s">
        <v>38</v>
      </c>
      <c r="CS14" s="21"/>
      <c r="CT14" s="21"/>
      <c r="CU14" s="21"/>
      <c r="CV14" s="75"/>
      <c r="CW14" s="76"/>
    </row>
    <row r="15">
      <c r="A15" s="50"/>
      <c r="B15" s="59">
        <v>8.0</v>
      </c>
      <c r="C15" s="59" t="s">
        <v>26</v>
      </c>
      <c r="D15" s="60">
        <v>46186.0</v>
      </c>
      <c r="E15" s="61" t="s">
        <v>39</v>
      </c>
      <c r="F15" s="62">
        <v>1.0</v>
      </c>
      <c r="G15" s="62">
        <v>1.0</v>
      </c>
      <c r="H15" s="63" t="s">
        <v>40</v>
      </c>
      <c r="I15" s="33"/>
      <c r="J15" s="33"/>
      <c r="K15" s="52"/>
      <c r="L15" s="64"/>
      <c r="M15" s="65" t="s">
        <v>39</v>
      </c>
      <c r="N15" s="62">
        <v>0.0</v>
      </c>
      <c r="O15" s="62">
        <v>2.0</v>
      </c>
      <c r="P15" s="66" t="s">
        <v>40</v>
      </c>
      <c r="Q15" s="54"/>
      <c r="R15" s="54"/>
      <c r="S15" s="67"/>
      <c r="T15" s="68">
        <v>0.0</v>
      </c>
      <c r="U15" s="70"/>
      <c r="V15" s="64"/>
      <c r="W15" s="65" t="s">
        <v>39</v>
      </c>
      <c r="X15" s="62">
        <v>0.0</v>
      </c>
      <c r="Y15" s="62">
        <v>3.0</v>
      </c>
      <c r="Z15" s="66" t="s">
        <v>40</v>
      </c>
      <c r="AA15" s="54"/>
      <c r="AB15" s="54"/>
      <c r="AC15" s="67"/>
      <c r="AD15" s="68">
        <v>0.0</v>
      </c>
      <c r="AE15" s="70"/>
      <c r="AF15" s="64"/>
      <c r="AG15" s="65" t="s">
        <v>39</v>
      </c>
      <c r="AH15" s="62">
        <v>0.0</v>
      </c>
      <c r="AI15" s="62">
        <v>2.0</v>
      </c>
      <c r="AJ15" s="66" t="s">
        <v>40</v>
      </c>
      <c r="AK15" s="54"/>
      <c r="AL15" s="54"/>
      <c r="AM15" s="67"/>
      <c r="AN15" s="68">
        <v>0.0</v>
      </c>
      <c r="AO15" s="70"/>
      <c r="AP15" s="64"/>
      <c r="AQ15" s="65" t="s">
        <v>39</v>
      </c>
      <c r="AR15" s="62">
        <v>1.0</v>
      </c>
      <c r="AS15" s="62">
        <v>3.0</v>
      </c>
      <c r="AT15" s="66" t="s">
        <v>40</v>
      </c>
      <c r="AU15" s="54"/>
      <c r="AV15" s="54"/>
      <c r="AW15" s="67"/>
      <c r="AX15" s="68">
        <v>0.0</v>
      </c>
      <c r="AY15" s="70"/>
      <c r="AZ15" s="64"/>
      <c r="BA15" s="65" t="s">
        <v>39</v>
      </c>
      <c r="BB15" s="62">
        <v>0.0</v>
      </c>
      <c r="BC15" s="62">
        <v>4.0</v>
      </c>
      <c r="BD15" s="66" t="s">
        <v>40</v>
      </c>
      <c r="BE15" s="54"/>
      <c r="BF15" s="54"/>
      <c r="BG15" s="67"/>
      <c r="BH15" s="68">
        <v>0.0</v>
      </c>
      <c r="BI15" s="70"/>
      <c r="BJ15" s="64"/>
      <c r="BK15" s="65" t="s">
        <v>39</v>
      </c>
      <c r="BL15" s="62">
        <v>1.0</v>
      </c>
      <c r="BM15" s="62">
        <v>1.0</v>
      </c>
      <c r="BN15" s="66" t="s">
        <v>40</v>
      </c>
      <c r="BO15" s="54"/>
      <c r="BP15" s="54"/>
      <c r="BQ15" s="67"/>
      <c r="BR15" s="68">
        <v>3.0</v>
      </c>
      <c r="BS15" s="69">
        <v>3.0</v>
      </c>
      <c r="BT15" s="64"/>
      <c r="BU15" s="65" t="s">
        <v>39</v>
      </c>
      <c r="BV15" s="62">
        <v>0.0</v>
      </c>
      <c r="BW15" s="62">
        <v>1.0</v>
      </c>
      <c r="BX15" s="66" t="s">
        <v>40</v>
      </c>
      <c r="BY15" s="54"/>
      <c r="BZ15" s="54"/>
      <c r="CA15" s="67"/>
      <c r="CB15" s="68">
        <v>0.0</v>
      </c>
      <c r="CC15" s="70"/>
      <c r="CD15" s="64"/>
      <c r="CE15" s="65" t="s">
        <v>39</v>
      </c>
      <c r="CF15" s="62">
        <v>0.0</v>
      </c>
      <c r="CG15" s="62">
        <v>3.0</v>
      </c>
      <c r="CH15" s="66" t="s">
        <v>40</v>
      </c>
      <c r="CI15" s="54"/>
      <c r="CJ15" s="54"/>
      <c r="CK15" s="67"/>
      <c r="CL15" s="68">
        <v>0.0</v>
      </c>
      <c r="CM15" s="70"/>
      <c r="CN15" s="72"/>
      <c r="CO15" s="73" t="s">
        <v>39</v>
      </c>
      <c r="CP15" s="74"/>
      <c r="CQ15" s="74"/>
      <c r="CR15" s="21" t="s">
        <v>40</v>
      </c>
      <c r="CS15" s="21"/>
      <c r="CT15" s="21"/>
      <c r="CU15" s="21"/>
      <c r="CV15" s="75"/>
      <c r="CW15" s="76"/>
    </row>
    <row r="16">
      <c r="A16" s="50"/>
      <c r="B16" s="59">
        <v>9.0</v>
      </c>
      <c r="C16" s="59" t="s">
        <v>41</v>
      </c>
      <c r="D16" s="60">
        <v>46187.0</v>
      </c>
      <c r="E16" s="61" t="s">
        <v>42</v>
      </c>
      <c r="F16" s="62">
        <v>1.0</v>
      </c>
      <c r="G16" s="62">
        <v>0.0</v>
      </c>
      <c r="H16" s="63" t="s">
        <v>43</v>
      </c>
      <c r="I16" s="33"/>
      <c r="J16" s="33"/>
      <c r="K16" s="52"/>
      <c r="L16" s="64"/>
      <c r="M16" s="65" t="s">
        <v>42</v>
      </c>
      <c r="N16" s="62">
        <v>0.0</v>
      </c>
      <c r="O16" s="62">
        <v>2.0</v>
      </c>
      <c r="P16" s="66" t="s">
        <v>43</v>
      </c>
      <c r="Q16" s="54"/>
      <c r="R16" s="54"/>
      <c r="S16" s="67"/>
      <c r="T16" s="68">
        <v>0.0</v>
      </c>
      <c r="U16" s="70"/>
      <c r="V16" s="64"/>
      <c r="W16" s="65" t="s">
        <v>42</v>
      </c>
      <c r="X16" s="62">
        <v>2.0</v>
      </c>
      <c r="Y16" s="62">
        <v>1.0</v>
      </c>
      <c r="Z16" s="66" t="s">
        <v>43</v>
      </c>
      <c r="AA16" s="54"/>
      <c r="AB16" s="54"/>
      <c r="AC16" s="67"/>
      <c r="AD16" s="68">
        <v>3.0</v>
      </c>
      <c r="AE16" s="70"/>
      <c r="AF16" s="64"/>
      <c r="AG16" s="65" t="s">
        <v>42</v>
      </c>
      <c r="AH16" s="62">
        <v>3.0</v>
      </c>
      <c r="AI16" s="62">
        <v>1.0</v>
      </c>
      <c r="AJ16" s="66" t="s">
        <v>43</v>
      </c>
      <c r="AK16" s="54"/>
      <c r="AL16" s="54"/>
      <c r="AM16" s="67"/>
      <c r="AN16" s="68">
        <v>3.0</v>
      </c>
      <c r="AO16" s="70"/>
      <c r="AP16" s="64"/>
      <c r="AQ16" s="65" t="s">
        <v>42</v>
      </c>
      <c r="AR16" s="62">
        <v>0.0</v>
      </c>
      <c r="AS16" s="62">
        <v>1.0</v>
      </c>
      <c r="AT16" s="66" t="s">
        <v>43</v>
      </c>
      <c r="AU16" s="54"/>
      <c r="AV16" s="54"/>
      <c r="AW16" s="67"/>
      <c r="AX16" s="68">
        <v>0.0</v>
      </c>
      <c r="AY16" s="70"/>
      <c r="AZ16" s="64"/>
      <c r="BA16" s="65" t="s">
        <v>42</v>
      </c>
      <c r="BB16" s="62">
        <v>1.0</v>
      </c>
      <c r="BC16" s="62">
        <v>0.0</v>
      </c>
      <c r="BD16" s="66" t="s">
        <v>43</v>
      </c>
      <c r="BE16" s="54"/>
      <c r="BF16" s="54"/>
      <c r="BG16" s="67"/>
      <c r="BH16" s="68">
        <v>3.0</v>
      </c>
      <c r="BI16" s="69">
        <v>3.0</v>
      </c>
      <c r="BJ16" s="64"/>
      <c r="BK16" s="65" t="s">
        <v>42</v>
      </c>
      <c r="BL16" s="62">
        <v>0.0</v>
      </c>
      <c r="BM16" s="62">
        <v>1.0</v>
      </c>
      <c r="BN16" s="66" t="s">
        <v>43</v>
      </c>
      <c r="BO16" s="54"/>
      <c r="BP16" s="54"/>
      <c r="BQ16" s="67"/>
      <c r="BR16" s="68">
        <v>0.0</v>
      </c>
      <c r="BS16" s="70"/>
      <c r="BT16" s="64"/>
      <c r="BU16" s="65" t="s">
        <v>42</v>
      </c>
      <c r="BV16" s="62">
        <v>1.0</v>
      </c>
      <c r="BW16" s="62">
        <v>0.0</v>
      </c>
      <c r="BX16" s="66" t="s">
        <v>43</v>
      </c>
      <c r="BY16" s="54"/>
      <c r="BZ16" s="54"/>
      <c r="CA16" s="67"/>
      <c r="CB16" s="68">
        <v>3.0</v>
      </c>
      <c r="CC16" s="69">
        <v>3.0</v>
      </c>
      <c r="CD16" s="64"/>
      <c r="CE16" s="65" t="s">
        <v>42</v>
      </c>
      <c r="CF16" s="62">
        <v>2.0</v>
      </c>
      <c r="CG16" s="62">
        <v>1.0</v>
      </c>
      <c r="CH16" s="66" t="s">
        <v>43</v>
      </c>
      <c r="CI16" s="54"/>
      <c r="CJ16" s="54"/>
      <c r="CK16" s="67"/>
      <c r="CL16" s="68">
        <v>3.0</v>
      </c>
      <c r="CM16" s="70"/>
      <c r="CN16" s="72"/>
      <c r="CO16" s="73" t="s">
        <v>42</v>
      </c>
      <c r="CP16" s="74"/>
      <c r="CQ16" s="74"/>
      <c r="CR16" s="21" t="s">
        <v>43</v>
      </c>
      <c r="CS16" s="21"/>
      <c r="CT16" s="21"/>
      <c r="CU16" s="21"/>
      <c r="CV16" s="75"/>
      <c r="CW16" s="76"/>
    </row>
    <row r="17">
      <c r="A17" s="50"/>
      <c r="B17" s="59">
        <v>10.0</v>
      </c>
      <c r="C17" s="59" t="s">
        <v>41</v>
      </c>
      <c r="D17" s="60">
        <v>46187.0</v>
      </c>
      <c r="E17" s="61" t="s">
        <v>44</v>
      </c>
      <c r="F17" s="62">
        <v>7.0</v>
      </c>
      <c r="G17" s="62">
        <v>1.0</v>
      </c>
      <c r="H17" s="63" t="s">
        <v>45</v>
      </c>
      <c r="I17" s="33"/>
      <c r="J17" s="33"/>
      <c r="K17" s="52"/>
      <c r="L17" s="64"/>
      <c r="M17" s="65" t="s">
        <v>44</v>
      </c>
      <c r="N17" s="62">
        <v>4.0</v>
      </c>
      <c r="O17" s="62">
        <v>1.0</v>
      </c>
      <c r="P17" s="66" t="s">
        <v>45</v>
      </c>
      <c r="Q17" s="54"/>
      <c r="R17" s="54"/>
      <c r="S17" s="67"/>
      <c r="T17" s="68">
        <v>3.0</v>
      </c>
      <c r="U17" s="70"/>
      <c r="V17" s="64"/>
      <c r="W17" s="65" t="s">
        <v>44</v>
      </c>
      <c r="X17" s="62">
        <v>3.0</v>
      </c>
      <c r="Y17" s="62">
        <v>0.0</v>
      </c>
      <c r="Z17" s="66" t="s">
        <v>45</v>
      </c>
      <c r="AA17" s="54"/>
      <c r="AB17" s="54"/>
      <c r="AC17" s="67"/>
      <c r="AD17" s="68">
        <v>3.0</v>
      </c>
      <c r="AE17" s="70"/>
      <c r="AF17" s="64"/>
      <c r="AG17" s="65" t="s">
        <v>44</v>
      </c>
      <c r="AH17" s="62">
        <v>4.0</v>
      </c>
      <c r="AI17" s="62">
        <v>0.0</v>
      </c>
      <c r="AJ17" s="66" t="s">
        <v>45</v>
      </c>
      <c r="AK17" s="54"/>
      <c r="AL17" s="54"/>
      <c r="AM17" s="67"/>
      <c r="AN17" s="68">
        <v>3.0</v>
      </c>
      <c r="AO17" s="70"/>
      <c r="AP17" s="64"/>
      <c r="AQ17" s="65" t="s">
        <v>44</v>
      </c>
      <c r="AR17" s="62">
        <v>6.0</v>
      </c>
      <c r="AS17" s="62">
        <v>0.0</v>
      </c>
      <c r="AT17" s="66" t="s">
        <v>45</v>
      </c>
      <c r="AU17" s="54"/>
      <c r="AV17" s="54"/>
      <c r="AW17" s="67"/>
      <c r="AX17" s="68">
        <v>3.0</v>
      </c>
      <c r="AY17" s="70"/>
      <c r="AZ17" s="64"/>
      <c r="BA17" s="65" t="s">
        <v>44</v>
      </c>
      <c r="BB17" s="62">
        <v>5.0</v>
      </c>
      <c r="BC17" s="62">
        <v>0.0</v>
      </c>
      <c r="BD17" s="66" t="s">
        <v>45</v>
      </c>
      <c r="BE17" s="54"/>
      <c r="BF17" s="54"/>
      <c r="BG17" s="67"/>
      <c r="BH17" s="68">
        <v>3.0</v>
      </c>
      <c r="BI17" s="70"/>
      <c r="BJ17" s="64"/>
      <c r="BK17" s="65" t="s">
        <v>44</v>
      </c>
      <c r="BL17" s="62">
        <v>3.0</v>
      </c>
      <c r="BM17" s="62">
        <v>0.0</v>
      </c>
      <c r="BN17" s="66" t="s">
        <v>45</v>
      </c>
      <c r="BO17" s="54"/>
      <c r="BP17" s="54"/>
      <c r="BQ17" s="67"/>
      <c r="BR17" s="68">
        <v>3.0</v>
      </c>
      <c r="BS17" s="70"/>
      <c r="BT17" s="64"/>
      <c r="BU17" s="65" t="s">
        <v>44</v>
      </c>
      <c r="BV17" s="62">
        <v>2.0</v>
      </c>
      <c r="BW17" s="62">
        <v>1.0</v>
      </c>
      <c r="BX17" s="66" t="s">
        <v>45</v>
      </c>
      <c r="BY17" s="54"/>
      <c r="BZ17" s="54"/>
      <c r="CA17" s="67"/>
      <c r="CB17" s="68">
        <v>3.0</v>
      </c>
      <c r="CC17" s="70"/>
      <c r="CD17" s="64"/>
      <c r="CE17" s="65" t="s">
        <v>44</v>
      </c>
      <c r="CF17" s="62">
        <v>3.0</v>
      </c>
      <c r="CG17" s="62">
        <v>0.0</v>
      </c>
      <c r="CH17" s="66" t="s">
        <v>45</v>
      </c>
      <c r="CI17" s="54"/>
      <c r="CJ17" s="54"/>
      <c r="CK17" s="67"/>
      <c r="CL17" s="68">
        <v>3.0</v>
      </c>
      <c r="CM17" s="70"/>
      <c r="CN17" s="72"/>
      <c r="CO17" s="73" t="s">
        <v>44</v>
      </c>
      <c r="CP17" s="74"/>
      <c r="CQ17" s="74"/>
      <c r="CR17" s="21" t="s">
        <v>45</v>
      </c>
      <c r="CS17" s="21"/>
      <c r="CT17" s="21"/>
      <c r="CU17" s="21"/>
      <c r="CV17" s="75"/>
      <c r="CW17" s="76"/>
    </row>
    <row r="18">
      <c r="A18" s="50"/>
      <c r="B18" s="59">
        <v>11.0</v>
      </c>
      <c r="C18" s="59" t="s">
        <v>46</v>
      </c>
      <c r="D18" s="60">
        <v>46187.0</v>
      </c>
      <c r="E18" s="61" t="s">
        <v>47</v>
      </c>
      <c r="F18" s="62">
        <v>2.0</v>
      </c>
      <c r="G18" s="62">
        <v>2.0</v>
      </c>
      <c r="H18" s="63" t="s">
        <v>48</v>
      </c>
      <c r="I18" s="33"/>
      <c r="J18" s="33"/>
      <c r="K18" s="52"/>
      <c r="L18" s="64"/>
      <c r="M18" s="65" t="s">
        <v>47</v>
      </c>
      <c r="N18" s="62">
        <v>0.0</v>
      </c>
      <c r="O18" s="62">
        <v>2.0</v>
      </c>
      <c r="P18" s="66" t="s">
        <v>48</v>
      </c>
      <c r="Q18" s="54"/>
      <c r="R18" s="54"/>
      <c r="S18" s="67"/>
      <c r="T18" s="68">
        <v>0.0</v>
      </c>
      <c r="U18" s="70"/>
      <c r="V18" s="64"/>
      <c r="W18" s="65" t="s">
        <v>47</v>
      </c>
      <c r="X18" s="62">
        <v>1.0</v>
      </c>
      <c r="Y18" s="62">
        <v>1.0</v>
      </c>
      <c r="Z18" s="66" t="s">
        <v>48</v>
      </c>
      <c r="AA18" s="54"/>
      <c r="AB18" s="54"/>
      <c r="AC18" s="67"/>
      <c r="AD18" s="68">
        <v>3.0</v>
      </c>
      <c r="AE18" s="70"/>
      <c r="AF18" s="64"/>
      <c r="AG18" s="65" t="s">
        <v>47</v>
      </c>
      <c r="AH18" s="62">
        <v>3.0</v>
      </c>
      <c r="AI18" s="62">
        <v>0.0</v>
      </c>
      <c r="AJ18" s="66" t="s">
        <v>48</v>
      </c>
      <c r="AK18" s="54"/>
      <c r="AL18" s="54"/>
      <c r="AM18" s="67"/>
      <c r="AN18" s="68">
        <v>0.0</v>
      </c>
      <c r="AO18" s="70"/>
      <c r="AP18" s="64"/>
      <c r="AQ18" s="65" t="s">
        <v>47</v>
      </c>
      <c r="AR18" s="62">
        <v>3.0</v>
      </c>
      <c r="AS18" s="62">
        <v>0.0</v>
      </c>
      <c r="AT18" s="66" t="s">
        <v>48</v>
      </c>
      <c r="AU18" s="54"/>
      <c r="AV18" s="54"/>
      <c r="AW18" s="67"/>
      <c r="AX18" s="68">
        <v>0.0</v>
      </c>
      <c r="AY18" s="70"/>
      <c r="AZ18" s="64"/>
      <c r="BA18" s="65" t="s">
        <v>47</v>
      </c>
      <c r="BB18" s="62">
        <v>2.0</v>
      </c>
      <c r="BC18" s="62">
        <v>2.0</v>
      </c>
      <c r="BD18" s="66" t="s">
        <v>48</v>
      </c>
      <c r="BE18" s="54"/>
      <c r="BF18" s="54"/>
      <c r="BG18" s="67"/>
      <c r="BH18" s="68">
        <v>3.0</v>
      </c>
      <c r="BI18" s="69">
        <v>3.0</v>
      </c>
      <c r="BJ18" s="64"/>
      <c r="BK18" s="65" t="s">
        <v>47</v>
      </c>
      <c r="BL18" s="62">
        <v>2.0</v>
      </c>
      <c r="BM18" s="62">
        <v>1.0</v>
      </c>
      <c r="BN18" s="66" t="s">
        <v>48</v>
      </c>
      <c r="BO18" s="54"/>
      <c r="BP18" s="54"/>
      <c r="BQ18" s="67"/>
      <c r="BR18" s="68">
        <v>0.0</v>
      </c>
      <c r="BS18" s="70"/>
      <c r="BT18" s="64"/>
      <c r="BU18" s="65" t="s">
        <v>47</v>
      </c>
      <c r="BV18" s="62">
        <v>3.0</v>
      </c>
      <c r="BW18" s="62">
        <v>0.0</v>
      </c>
      <c r="BX18" s="66" t="s">
        <v>48</v>
      </c>
      <c r="BY18" s="54"/>
      <c r="BZ18" s="54"/>
      <c r="CA18" s="67"/>
      <c r="CB18" s="68">
        <v>0.0</v>
      </c>
      <c r="CC18" s="70"/>
      <c r="CD18" s="64"/>
      <c r="CE18" s="65" t="s">
        <v>47</v>
      </c>
      <c r="CF18" s="62">
        <v>4.0</v>
      </c>
      <c r="CG18" s="62">
        <v>1.0</v>
      </c>
      <c r="CH18" s="66" t="s">
        <v>48</v>
      </c>
      <c r="CI18" s="54"/>
      <c r="CJ18" s="54"/>
      <c r="CK18" s="67"/>
      <c r="CL18" s="68">
        <v>0.0</v>
      </c>
      <c r="CM18" s="70"/>
      <c r="CN18" s="72"/>
      <c r="CO18" s="73" t="s">
        <v>47</v>
      </c>
      <c r="CP18" s="74"/>
      <c r="CQ18" s="74"/>
      <c r="CR18" s="21" t="s">
        <v>48</v>
      </c>
      <c r="CS18" s="21"/>
      <c r="CT18" s="21"/>
      <c r="CU18" s="21"/>
      <c r="CV18" s="75"/>
      <c r="CW18" s="76"/>
    </row>
    <row r="19">
      <c r="A19" s="50"/>
      <c r="B19" s="59">
        <v>12.0</v>
      </c>
      <c r="C19" s="59" t="s">
        <v>46</v>
      </c>
      <c r="D19" s="60">
        <v>46187.0</v>
      </c>
      <c r="E19" s="61" t="s">
        <v>49</v>
      </c>
      <c r="F19" s="62">
        <v>5.0</v>
      </c>
      <c r="G19" s="62">
        <v>1.0</v>
      </c>
      <c r="H19" s="63" t="s">
        <v>50</v>
      </c>
      <c r="I19" s="33"/>
      <c r="J19" s="33"/>
      <c r="K19" s="52"/>
      <c r="L19" s="64"/>
      <c r="M19" s="65" t="s">
        <v>49</v>
      </c>
      <c r="N19" s="62">
        <v>1.0</v>
      </c>
      <c r="O19" s="62">
        <v>1.0</v>
      </c>
      <c r="P19" s="66" t="s">
        <v>50</v>
      </c>
      <c r="Q19" s="54"/>
      <c r="R19" s="54"/>
      <c r="S19" s="67"/>
      <c r="T19" s="68">
        <v>0.0</v>
      </c>
      <c r="U19" s="70"/>
      <c r="V19" s="64"/>
      <c r="W19" s="65" t="s">
        <v>49</v>
      </c>
      <c r="X19" s="62">
        <v>2.0</v>
      </c>
      <c r="Y19" s="62">
        <v>0.0</v>
      </c>
      <c r="Z19" s="66" t="s">
        <v>50</v>
      </c>
      <c r="AA19" s="54"/>
      <c r="AB19" s="54"/>
      <c r="AC19" s="67"/>
      <c r="AD19" s="68">
        <v>3.0</v>
      </c>
      <c r="AE19" s="70"/>
      <c r="AF19" s="64"/>
      <c r="AG19" s="65" t="s">
        <v>49</v>
      </c>
      <c r="AH19" s="62">
        <v>2.0</v>
      </c>
      <c r="AI19" s="62">
        <v>1.0</v>
      </c>
      <c r="AJ19" s="66" t="s">
        <v>50</v>
      </c>
      <c r="AK19" s="54"/>
      <c r="AL19" s="54"/>
      <c r="AM19" s="67"/>
      <c r="AN19" s="68">
        <v>3.0</v>
      </c>
      <c r="AO19" s="70"/>
      <c r="AP19" s="64"/>
      <c r="AQ19" s="65" t="s">
        <v>49</v>
      </c>
      <c r="AR19" s="62">
        <v>2.0</v>
      </c>
      <c r="AS19" s="62">
        <v>0.0</v>
      </c>
      <c r="AT19" s="66" t="s">
        <v>50</v>
      </c>
      <c r="AU19" s="54"/>
      <c r="AV19" s="54"/>
      <c r="AW19" s="67"/>
      <c r="AX19" s="68">
        <v>3.0</v>
      </c>
      <c r="AY19" s="70"/>
      <c r="AZ19" s="64"/>
      <c r="BA19" s="65" t="s">
        <v>49</v>
      </c>
      <c r="BB19" s="62">
        <v>2.0</v>
      </c>
      <c r="BC19" s="62">
        <v>0.0</v>
      </c>
      <c r="BD19" s="66" t="s">
        <v>50</v>
      </c>
      <c r="BE19" s="54"/>
      <c r="BF19" s="54"/>
      <c r="BG19" s="67"/>
      <c r="BH19" s="68">
        <v>3.0</v>
      </c>
      <c r="BI19" s="70"/>
      <c r="BJ19" s="64"/>
      <c r="BK19" s="65" t="s">
        <v>49</v>
      </c>
      <c r="BL19" s="62">
        <v>4.0</v>
      </c>
      <c r="BM19" s="62">
        <v>1.0</v>
      </c>
      <c r="BN19" s="66" t="s">
        <v>50</v>
      </c>
      <c r="BO19" s="54"/>
      <c r="BP19" s="54"/>
      <c r="BQ19" s="67"/>
      <c r="BR19" s="68">
        <v>3.0</v>
      </c>
      <c r="BS19" s="70"/>
      <c r="BT19" s="64"/>
      <c r="BU19" s="65" t="s">
        <v>49</v>
      </c>
      <c r="BV19" s="62">
        <v>1.0</v>
      </c>
      <c r="BW19" s="62">
        <v>1.0</v>
      </c>
      <c r="BX19" s="66" t="s">
        <v>50</v>
      </c>
      <c r="BY19" s="54"/>
      <c r="BZ19" s="54"/>
      <c r="CA19" s="67"/>
      <c r="CB19" s="68">
        <v>0.0</v>
      </c>
      <c r="CC19" s="70"/>
      <c r="CD19" s="64"/>
      <c r="CE19" s="65" t="s">
        <v>49</v>
      </c>
      <c r="CF19" s="62">
        <v>2.0</v>
      </c>
      <c r="CG19" s="62">
        <v>0.0</v>
      </c>
      <c r="CH19" s="66" t="s">
        <v>50</v>
      </c>
      <c r="CI19" s="54"/>
      <c r="CJ19" s="54"/>
      <c r="CK19" s="67"/>
      <c r="CL19" s="68">
        <v>3.0</v>
      </c>
      <c r="CM19" s="70"/>
      <c r="CN19" s="72"/>
      <c r="CO19" s="73" t="s">
        <v>49</v>
      </c>
      <c r="CP19" s="74"/>
      <c r="CQ19" s="74"/>
      <c r="CR19" s="21" t="s">
        <v>50</v>
      </c>
      <c r="CS19" s="21"/>
      <c r="CT19" s="21"/>
      <c r="CU19" s="21"/>
      <c r="CV19" s="75"/>
      <c r="CW19" s="76"/>
    </row>
    <row r="20">
      <c r="A20" s="50"/>
      <c r="B20" s="59">
        <v>13.0</v>
      </c>
      <c r="C20" s="59" t="s">
        <v>51</v>
      </c>
      <c r="D20" s="60">
        <v>46188.0</v>
      </c>
      <c r="E20" s="61" t="s">
        <v>52</v>
      </c>
      <c r="F20" s="62">
        <v>1.0</v>
      </c>
      <c r="G20" s="62">
        <v>1.0</v>
      </c>
      <c r="H20" s="63" t="s">
        <v>53</v>
      </c>
      <c r="I20" s="33"/>
      <c r="J20" s="33"/>
      <c r="K20" s="52"/>
      <c r="L20" s="64"/>
      <c r="M20" s="65" t="s">
        <v>52</v>
      </c>
      <c r="N20" s="62">
        <v>1.0</v>
      </c>
      <c r="O20" s="62">
        <v>1.0</v>
      </c>
      <c r="P20" s="66" t="s">
        <v>53</v>
      </c>
      <c r="Q20" s="54"/>
      <c r="R20" s="54"/>
      <c r="S20" s="67"/>
      <c r="T20" s="68">
        <v>3.0</v>
      </c>
      <c r="U20" s="69">
        <v>3.0</v>
      </c>
      <c r="V20" s="64"/>
      <c r="W20" s="65" t="s">
        <v>52</v>
      </c>
      <c r="X20" s="62">
        <v>3.0</v>
      </c>
      <c r="Y20" s="62">
        <v>1.0</v>
      </c>
      <c r="Z20" s="66" t="s">
        <v>53</v>
      </c>
      <c r="AA20" s="54"/>
      <c r="AB20" s="54"/>
      <c r="AC20" s="67"/>
      <c r="AD20" s="68">
        <v>0.0</v>
      </c>
      <c r="AE20" s="70"/>
      <c r="AF20" s="64"/>
      <c r="AG20" s="65" t="s">
        <v>52</v>
      </c>
      <c r="AH20" s="62">
        <v>2.0</v>
      </c>
      <c r="AI20" s="62">
        <v>1.0</v>
      </c>
      <c r="AJ20" s="66" t="s">
        <v>53</v>
      </c>
      <c r="AK20" s="54"/>
      <c r="AL20" s="54"/>
      <c r="AM20" s="67"/>
      <c r="AN20" s="68">
        <v>0.0</v>
      </c>
      <c r="AO20" s="70"/>
      <c r="AP20" s="64"/>
      <c r="AQ20" s="65" t="s">
        <v>52</v>
      </c>
      <c r="AR20" s="62">
        <v>3.0</v>
      </c>
      <c r="AS20" s="62">
        <v>0.0</v>
      </c>
      <c r="AT20" s="66" t="s">
        <v>53</v>
      </c>
      <c r="AU20" s="54"/>
      <c r="AV20" s="54"/>
      <c r="AW20" s="67"/>
      <c r="AX20" s="68">
        <v>0.0</v>
      </c>
      <c r="AY20" s="70"/>
      <c r="AZ20" s="64"/>
      <c r="BA20" s="65" t="s">
        <v>52</v>
      </c>
      <c r="BB20" s="62">
        <v>3.0</v>
      </c>
      <c r="BC20" s="62">
        <v>1.0</v>
      </c>
      <c r="BD20" s="66" t="s">
        <v>53</v>
      </c>
      <c r="BE20" s="54"/>
      <c r="BF20" s="54"/>
      <c r="BG20" s="67"/>
      <c r="BH20" s="68">
        <v>0.0</v>
      </c>
      <c r="BI20" s="70"/>
      <c r="BJ20" s="64"/>
      <c r="BK20" s="65" t="s">
        <v>52</v>
      </c>
      <c r="BL20" s="62">
        <v>2.0</v>
      </c>
      <c r="BM20" s="62">
        <v>1.0</v>
      </c>
      <c r="BN20" s="66" t="s">
        <v>53</v>
      </c>
      <c r="BO20" s="54"/>
      <c r="BP20" s="54"/>
      <c r="BQ20" s="67"/>
      <c r="BR20" s="68">
        <v>0.0</v>
      </c>
      <c r="BS20" s="70"/>
      <c r="BT20" s="64"/>
      <c r="BU20" s="65" t="s">
        <v>52</v>
      </c>
      <c r="BV20" s="62">
        <v>2.0</v>
      </c>
      <c r="BW20" s="62">
        <v>1.0</v>
      </c>
      <c r="BX20" s="66" t="s">
        <v>53</v>
      </c>
      <c r="BY20" s="54"/>
      <c r="BZ20" s="54"/>
      <c r="CA20" s="67"/>
      <c r="CB20" s="68">
        <v>0.0</v>
      </c>
      <c r="CC20" s="70"/>
      <c r="CD20" s="64"/>
      <c r="CE20" s="65" t="s">
        <v>52</v>
      </c>
      <c r="CF20" s="62">
        <v>0.0</v>
      </c>
      <c r="CG20" s="62">
        <v>0.0</v>
      </c>
      <c r="CH20" s="66" t="s">
        <v>53</v>
      </c>
      <c r="CI20" s="54"/>
      <c r="CJ20" s="54"/>
      <c r="CK20" s="67"/>
      <c r="CL20" s="68">
        <v>3.0</v>
      </c>
      <c r="CM20" s="70"/>
      <c r="CN20" s="72"/>
      <c r="CO20" s="73" t="s">
        <v>52</v>
      </c>
      <c r="CP20" s="74"/>
      <c r="CQ20" s="74"/>
      <c r="CR20" s="21" t="s">
        <v>53</v>
      </c>
      <c r="CS20" s="21"/>
      <c r="CT20" s="21"/>
      <c r="CU20" s="21"/>
      <c r="CV20" s="75"/>
      <c r="CW20" s="76"/>
    </row>
    <row r="21">
      <c r="A21" s="50"/>
      <c r="B21" s="59">
        <v>14.0</v>
      </c>
      <c r="C21" s="59" t="s">
        <v>51</v>
      </c>
      <c r="D21" s="60">
        <v>46188.0</v>
      </c>
      <c r="E21" s="61" t="s">
        <v>54</v>
      </c>
      <c r="F21" s="77"/>
      <c r="G21" s="77"/>
      <c r="H21" s="63" t="s">
        <v>55</v>
      </c>
      <c r="I21" s="33"/>
      <c r="J21" s="33"/>
      <c r="K21" s="52"/>
      <c r="L21" s="64"/>
      <c r="M21" s="65" t="s">
        <v>54</v>
      </c>
      <c r="N21" s="62">
        <v>2.0</v>
      </c>
      <c r="O21" s="62">
        <v>0.0</v>
      </c>
      <c r="P21" s="66" t="s">
        <v>55</v>
      </c>
      <c r="Q21" s="54"/>
      <c r="R21" s="54"/>
      <c r="S21" s="67"/>
      <c r="T21" s="78"/>
      <c r="U21" s="70"/>
      <c r="V21" s="64"/>
      <c r="W21" s="65" t="s">
        <v>54</v>
      </c>
      <c r="X21" s="62">
        <v>2.0</v>
      </c>
      <c r="Y21" s="62">
        <v>0.0</v>
      </c>
      <c r="Z21" s="66" t="s">
        <v>55</v>
      </c>
      <c r="AA21" s="54"/>
      <c r="AB21" s="54"/>
      <c r="AC21" s="67"/>
      <c r="AD21" s="78"/>
      <c r="AE21" s="70"/>
      <c r="AF21" s="64"/>
      <c r="AG21" s="65" t="s">
        <v>54</v>
      </c>
      <c r="AH21" s="62">
        <v>1.0</v>
      </c>
      <c r="AI21" s="62">
        <v>1.0</v>
      </c>
      <c r="AJ21" s="66" t="s">
        <v>55</v>
      </c>
      <c r="AK21" s="54"/>
      <c r="AL21" s="54"/>
      <c r="AM21" s="67"/>
      <c r="AN21" s="78"/>
      <c r="AO21" s="70"/>
      <c r="AP21" s="64"/>
      <c r="AQ21" s="65" t="s">
        <v>54</v>
      </c>
      <c r="AR21" s="62">
        <v>0.0</v>
      </c>
      <c r="AS21" s="62">
        <v>1.0</v>
      </c>
      <c r="AT21" s="66" t="s">
        <v>55</v>
      </c>
      <c r="AU21" s="54"/>
      <c r="AV21" s="54"/>
      <c r="AW21" s="67"/>
      <c r="AX21" s="78"/>
      <c r="AY21" s="70"/>
      <c r="AZ21" s="64"/>
      <c r="BA21" s="65" t="s">
        <v>54</v>
      </c>
      <c r="BB21" s="62">
        <v>3.0</v>
      </c>
      <c r="BC21" s="62">
        <v>0.0</v>
      </c>
      <c r="BD21" s="66" t="s">
        <v>55</v>
      </c>
      <c r="BE21" s="54"/>
      <c r="BF21" s="54"/>
      <c r="BG21" s="67"/>
      <c r="BH21" s="78"/>
      <c r="BI21" s="70"/>
      <c r="BJ21" s="64"/>
      <c r="BK21" s="65" t="s">
        <v>54</v>
      </c>
      <c r="BL21" s="62">
        <v>1.0</v>
      </c>
      <c r="BM21" s="62">
        <v>2.0</v>
      </c>
      <c r="BN21" s="66" t="s">
        <v>55</v>
      </c>
      <c r="BO21" s="54"/>
      <c r="BP21" s="54"/>
      <c r="BQ21" s="67"/>
      <c r="BR21" s="78"/>
      <c r="BS21" s="70"/>
      <c r="BT21" s="64"/>
      <c r="BU21" s="65" t="s">
        <v>54</v>
      </c>
      <c r="BV21" s="62">
        <v>0.0</v>
      </c>
      <c r="BW21" s="62">
        <v>0.0</v>
      </c>
      <c r="BX21" s="66" t="s">
        <v>55</v>
      </c>
      <c r="BY21" s="54"/>
      <c r="BZ21" s="54"/>
      <c r="CA21" s="67"/>
      <c r="CB21" s="78"/>
      <c r="CC21" s="70"/>
      <c r="CD21" s="64"/>
      <c r="CE21" s="65" t="s">
        <v>54</v>
      </c>
      <c r="CF21" s="62">
        <v>0.0</v>
      </c>
      <c r="CG21" s="62">
        <v>1.0</v>
      </c>
      <c r="CH21" s="66" t="s">
        <v>55</v>
      </c>
      <c r="CI21" s="54"/>
      <c r="CJ21" s="54"/>
      <c r="CK21" s="67"/>
      <c r="CL21" s="78"/>
      <c r="CM21" s="70"/>
      <c r="CN21" s="72"/>
      <c r="CO21" s="73" t="s">
        <v>54</v>
      </c>
      <c r="CP21" s="74"/>
      <c r="CQ21" s="74"/>
      <c r="CR21" s="21" t="s">
        <v>55</v>
      </c>
      <c r="CS21" s="21"/>
      <c r="CT21" s="21"/>
      <c r="CU21" s="21"/>
      <c r="CV21" s="75"/>
      <c r="CW21" s="76"/>
    </row>
    <row r="22">
      <c r="A22" s="50"/>
      <c r="B22" s="59">
        <v>15.0</v>
      </c>
      <c r="C22" s="59" t="s">
        <v>56</v>
      </c>
      <c r="D22" s="60">
        <v>46188.0</v>
      </c>
      <c r="E22" s="61" t="s">
        <v>57</v>
      </c>
      <c r="F22" s="62">
        <v>0.0</v>
      </c>
      <c r="G22" s="62">
        <v>0.0</v>
      </c>
      <c r="H22" s="63" t="s">
        <v>58</v>
      </c>
      <c r="I22" s="33"/>
      <c r="J22" s="33"/>
      <c r="K22" s="52"/>
      <c r="L22" s="64"/>
      <c r="M22" s="65" t="s">
        <v>57</v>
      </c>
      <c r="N22" s="62">
        <v>12.0</v>
      </c>
      <c r="O22" s="62">
        <v>0.0</v>
      </c>
      <c r="P22" s="66" t="s">
        <v>58</v>
      </c>
      <c r="Q22" s="54"/>
      <c r="R22" s="54"/>
      <c r="S22" s="67"/>
      <c r="T22" s="68">
        <v>0.0</v>
      </c>
      <c r="U22" s="70"/>
      <c r="V22" s="64"/>
      <c r="W22" s="65" t="s">
        <v>57</v>
      </c>
      <c r="X22" s="62">
        <v>5.0</v>
      </c>
      <c r="Y22" s="62">
        <v>0.0</v>
      </c>
      <c r="Z22" s="66" t="s">
        <v>58</v>
      </c>
      <c r="AA22" s="54"/>
      <c r="AB22" s="54"/>
      <c r="AC22" s="67"/>
      <c r="AD22" s="68">
        <v>0.0</v>
      </c>
      <c r="AE22" s="70"/>
      <c r="AF22" s="64"/>
      <c r="AG22" s="65" t="s">
        <v>57</v>
      </c>
      <c r="AH22" s="62">
        <v>5.0</v>
      </c>
      <c r="AI22" s="62">
        <v>0.0</v>
      </c>
      <c r="AJ22" s="66" t="s">
        <v>58</v>
      </c>
      <c r="AK22" s="54"/>
      <c r="AL22" s="54"/>
      <c r="AM22" s="67"/>
      <c r="AN22" s="68">
        <v>0.0</v>
      </c>
      <c r="AO22" s="70"/>
      <c r="AP22" s="64"/>
      <c r="AQ22" s="65" t="s">
        <v>57</v>
      </c>
      <c r="AR22" s="62">
        <v>9.0</v>
      </c>
      <c r="AS22" s="62">
        <v>0.0</v>
      </c>
      <c r="AT22" s="66" t="s">
        <v>58</v>
      </c>
      <c r="AU22" s="54"/>
      <c r="AV22" s="54"/>
      <c r="AW22" s="67"/>
      <c r="AX22" s="68">
        <v>0.0</v>
      </c>
      <c r="AY22" s="70"/>
      <c r="AZ22" s="64"/>
      <c r="BA22" s="65" t="s">
        <v>57</v>
      </c>
      <c r="BB22" s="62">
        <v>8.0</v>
      </c>
      <c r="BC22" s="62">
        <v>0.0</v>
      </c>
      <c r="BD22" s="66" t="s">
        <v>58</v>
      </c>
      <c r="BE22" s="54"/>
      <c r="BF22" s="54"/>
      <c r="BG22" s="67"/>
      <c r="BH22" s="68">
        <v>0.0</v>
      </c>
      <c r="BI22" s="70"/>
      <c r="BJ22" s="64"/>
      <c r="BK22" s="65" t="s">
        <v>57</v>
      </c>
      <c r="BL22" s="62">
        <v>3.0</v>
      </c>
      <c r="BM22" s="62">
        <v>0.0</v>
      </c>
      <c r="BN22" s="66" t="s">
        <v>58</v>
      </c>
      <c r="BO22" s="54"/>
      <c r="BP22" s="54"/>
      <c r="BQ22" s="67"/>
      <c r="BR22" s="68">
        <v>0.0</v>
      </c>
      <c r="BS22" s="70"/>
      <c r="BT22" s="64"/>
      <c r="BU22" s="65" t="s">
        <v>57</v>
      </c>
      <c r="BV22" s="62">
        <v>4.0</v>
      </c>
      <c r="BW22" s="62">
        <v>1.0</v>
      </c>
      <c r="BX22" s="66" t="s">
        <v>58</v>
      </c>
      <c r="BY22" s="54"/>
      <c r="BZ22" s="54"/>
      <c r="CA22" s="67"/>
      <c r="CB22" s="68">
        <v>0.0</v>
      </c>
      <c r="CC22" s="70"/>
      <c r="CD22" s="64"/>
      <c r="CE22" s="65" t="s">
        <v>57</v>
      </c>
      <c r="CF22" s="62">
        <v>3.0</v>
      </c>
      <c r="CG22" s="62">
        <v>0.0</v>
      </c>
      <c r="CH22" s="66" t="s">
        <v>58</v>
      </c>
      <c r="CI22" s="54"/>
      <c r="CJ22" s="54"/>
      <c r="CK22" s="67"/>
      <c r="CL22" s="68">
        <v>0.0</v>
      </c>
      <c r="CM22" s="70"/>
      <c r="CN22" s="72"/>
      <c r="CO22" s="73" t="s">
        <v>57</v>
      </c>
      <c r="CP22" s="74"/>
      <c r="CQ22" s="74"/>
      <c r="CR22" s="21" t="s">
        <v>58</v>
      </c>
      <c r="CS22" s="21"/>
      <c r="CT22" s="21"/>
      <c r="CU22" s="21"/>
      <c r="CV22" s="75"/>
      <c r="CW22" s="76"/>
    </row>
    <row r="23">
      <c r="A23" s="50"/>
      <c r="B23" s="59">
        <v>16.0</v>
      </c>
      <c r="C23" s="59" t="s">
        <v>56</v>
      </c>
      <c r="D23" s="60">
        <v>46188.0</v>
      </c>
      <c r="E23" s="61" t="s">
        <v>59</v>
      </c>
      <c r="F23" s="77"/>
      <c r="G23" s="77"/>
      <c r="H23" s="63" t="s">
        <v>60</v>
      </c>
      <c r="I23" s="33"/>
      <c r="J23" s="33"/>
      <c r="K23" s="52"/>
      <c r="L23" s="64"/>
      <c r="M23" s="65" t="s">
        <v>59</v>
      </c>
      <c r="N23" s="62">
        <v>0.0</v>
      </c>
      <c r="O23" s="62">
        <v>4.0</v>
      </c>
      <c r="P23" s="66" t="s">
        <v>60</v>
      </c>
      <c r="Q23" s="54"/>
      <c r="R23" s="54"/>
      <c r="S23" s="67"/>
      <c r="T23" s="78"/>
      <c r="U23" s="70"/>
      <c r="V23" s="64"/>
      <c r="W23" s="65" t="s">
        <v>59</v>
      </c>
      <c r="X23" s="62">
        <v>0.0</v>
      </c>
      <c r="Y23" s="62">
        <v>3.0</v>
      </c>
      <c r="Z23" s="66" t="s">
        <v>60</v>
      </c>
      <c r="AA23" s="54"/>
      <c r="AB23" s="54"/>
      <c r="AC23" s="67"/>
      <c r="AD23" s="78"/>
      <c r="AE23" s="70"/>
      <c r="AF23" s="64"/>
      <c r="AG23" s="65" t="s">
        <v>59</v>
      </c>
      <c r="AH23" s="62">
        <v>1.0</v>
      </c>
      <c r="AI23" s="62">
        <v>3.0</v>
      </c>
      <c r="AJ23" s="66" t="s">
        <v>60</v>
      </c>
      <c r="AK23" s="54"/>
      <c r="AL23" s="54"/>
      <c r="AM23" s="67"/>
      <c r="AN23" s="78"/>
      <c r="AO23" s="70"/>
      <c r="AP23" s="64"/>
      <c r="AQ23" s="65" t="s">
        <v>59</v>
      </c>
      <c r="AR23" s="62">
        <v>0.0</v>
      </c>
      <c r="AS23" s="62">
        <v>2.0</v>
      </c>
      <c r="AT23" s="66" t="s">
        <v>60</v>
      </c>
      <c r="AU23" s="54"/>
      <c r="AV23" s="54"/>
      <c r="AW23" s="67"/>
      <c r="AX23" s="78"/>
      <c r="AY23" s="70"/>
      <c r="AZ23" s="64"/>
      <c r="BA23" s="65" t="s">
        <v>59</v>
      </c>
      <c r="BB23" s="62">
        <v>0.0</v>
      </c>
      <c r="BC23" s="62">
        <v>2.0</v>
      </c>
      <c r="BD23" s="66" t="s">
        <v>60</v>
      </c>
      <c r="BE23" s="54"/>
      <c r="BF23" s="54"/>
      <c r="BG23" s="67"/>
      <c r="BH23" s="78"/>
      <c r="BI23" s="70"/>
      <c r="BJ23" s="64"/>
      <c r="BK23" s="65" t="s">
        <v>59</v>
      </c>
      <c r="BL23" s="62">
        <v>0.0</v>
      </c>
      <c r="BM23" s="62">
        <v>1.0</v>
      </c>
      <c r="BN23" s="66" t="s">
        <v>60</v>
      </c>
      <c r="BO23" s="54"/>
      <c r="BP23" s="54"/>
      <c r="BQ23" s="67"/>
      <c r="BR23" s="78"/>
      <c r="BS23" s="70"/>
      <c r="BT23" s="64"/>
      <c r="BU23" s="65" t="s">
        <v>59</v>
      </c>
      <c r="BV23" s="62">
        <v>1.0</v>
      </c>
      <c r="BW23" s="62">
        <v>1.0</v>
      </c>
      <c r="BX23" s="66" t="s">
        <v>60</v>
      </c>
      <c r="BY23" s="54"/>
      <c r="BZ23" s="54"/>
      <c r="CA23" s="67"/>
      <c r="CB23" s="78"/>
      <c r="CC23" s="70"/>
      <c r="CD23" s="64"/>
      <c r="CE23" s="65" t="s">
        <v>59</v>
      </c>
      <c r="CF23" s="62">
        <v>1.0</v>
      </c>
      <c r="CG23" s="62">
        <v>0.0</v>
      </c>
      <c r="CH23" s="66" t="s">
        <v>60</v>
      </c>
      <c r="CI23" s="54"/>
      <c r="CJ23" s="54"/>
      <c r="CK23" s="67"/>
      <c r="CL23" s="78"/>
      <c r="CM23" s="70"/>
      <c r="CN23" s="72"/>
      <c r="CO23" s="73" t="s">
        <v>59</v>
      </c>
      <c r="CP23" s="74"/>
      <c r="CQ23" s="74"/>
      <c r="CR23" s="21" t="s">
        <v>60</v>
      </c>
      <c r="CS23" s="21"/>
      <c r="CT23" s="21"/>
      <c r="CU23" s="21"/>
      <c r="CV23" s="75"/>
      <c r="CW23" s="76"/>
    </row>
    <row r="24">
      <c r="A24" s="50"/>
      <c r="B24" s="59">
        <v>17.0</v>
      </c>
      <c r="C24" s="59" t="s">
        <v>61</v>
      </c>
      <c r="D24" s="60">
        <v>46189.0</v>
      </c>
      <c r="E24" s="61" t="s">
        <v>62</v>
      </c>
      <c r="F24" s="77"/>
      <c r="G24" s="77"/>
      <c r="H24" s="63" t="s">
        <v>63</v>
      </c>
      <c r="I24" s="33"/>
      <c r="J24" s="33"/>
      <c r="K24" s="52"/>
      <c r="L24" s="64"/>
      <c r="M24" s="65" t="s">
        <v>62</v>
      </c>
      <c r="N24" s="62">
        <v>4.0</v>
      </c>
      <c r="O24" s="62">
        <v>0.0</v>
      </c>
      <c r="P24" s="66" t="s">
        <v>63</v>
      </c>
      <c r="Q24" s="54"/>
      <c r="R24" s="54"/>
      <c r="S24" s="67"/>
      <c r="T24" s="78"/>
      <c r="U24" s="70"/>
      <c r="V24" s="64"/>
      <c r="W24" s="65" t="s">
        <v>62</v>
      </c>
      <c r="X24" s="62">
        <v>3.0</v>
      </c>
      <c r="Y24" s="62">
        <v>1.0</v>
      </c>
      <c r="Z24" s="66" t="s">
        <v>63</v>
      </c>
      <c r="AA24" s="54"/>
      <c r="AB24" s="54"/>
      <c r="AC24" s="67"/>
      <c r="AD24" s="78"/>
      <c r="AE24" s="70"/>
      <c r="AF24" s="64"/>
      <c r="AG24" s="65" t="s">
        <v>62</v>
      </c>
      <c r="AH24" s="62">
        <v>3.0</v>
      </c>
      <c r="AI24" s="62">
        <v>2.0</v>
      </c>
      <c r="AJ24" s="66" t="s">
        <v>63</v>
      </c>
      <c r="AK24" s="54"/>
      <c r="AL24" s="54"/>
      <c r="AM24" s="67"/>
      <c r="AN24" s="78"/>
      <c r="AO24" s="70"/>
      <c r="AP24" s="64"/>
      <c r="AQ24" s="65" t="s">
        <v>62</v>
      </c>
      <c r="AR24" s="62">
        <v>4.0</v>
      </c>
      <c r="AS24" s="62">
        <v>0.0</v>
      </c>
      <c r="AT24" s="66" t="s">
        <v>63</v>
      </c>
      <c r="AU24" s="54"/>
      <c r="AV24" s="54"/>
      <c r="AW24" s="67"/>
      <c r="AX24" s="78"/>
      <c r="AY24" s="70"/>
      <c r="AZ24" s="64"/>
      <c r="BA24" s="65" t="s">
        <v>62</v>
      </c>
      <c r="BB24" s="62">
        <v>3.0</v>
      </c>
      <c r="BC24" s="62">
        <v>1.0</v>
      </c>
      <c r="BD24" s="66" t="s">
        <v>63</v>
      </c>
      <c r="BE24" s="54"/>
      <c r="BF24" s="54"/>
      <c r="BG24" s="67"/>
      <c r="BH24" s="78"/>
      <c r="BI24" s="70"/>
      <c r="BJ24" s="64"/>
      <c r="BK24" s="65" t="s">
        <v>62</v>
      </c>
      <c r="BL24" s="62">
        <v>3.0</v>
      </c>
      <c r="BM24" s="62">
        <v>0.0</v>
      </c>
      <c r="BN24" s="66" t="s">
        <v>63</v>
      </c>
      <c r="BO24" s="54"/>
      <c r="BP24" s="54"/>
      <c r="BQ24" s="67"/>
      <c r="BR24" s="78"/>
      <c r="BS24" s="70"/>
      <c r="BT24" s="64"/>
      <c r="BU24" s="65" t="s">
        <v>62</v>
      </c>
      <c r="BV24" s="62">
        <v>2.0</v>
      </c>
      <c r="BW24" s="62">
        <v>1.0</v>
      </c>
      <c r="BX24" s="66" t="s">
        <v>63</v>
      </c>
      <c r="BY24" s="54"/>
      <c r="BZ24" s="54"/>
      <c r="CA24" s="67"/>
      <c r="CB24" s="78"/>
      <c r="CC24" s="70"/>
      <c r="CD24" s="64"/>
      <c r="CE24" s="65" t="s">
        <v>62</v>
      </c>
      <c r="CF24" s="62">
        <v>2.0</v>
      </c>
      <c r="CG24" s="62">
        <v>1.0</v>
      </c>
      <c r="CH24" s="66" t="s">
        <v>63</v>
      </c>
      <c r="CI24" s="54"/>
      <c r="CJ24" s="54"/>
      <c r="CK24" s="67"/>
      <c r="CL24" s="78"/>
      <c r="CM24" s="70"/>
      <c r="CN24" s="72"/>
      <c r="CO24" s="73" t="s">
        <v>62</v>
      </c>
      <c r="CP24" s="74"/>
      <c r="CQ24" s="74"/>
      <c r="CR24" s="21" t="s">
        <v>63</v>
      </c>
      <c r="CS24" s="21"/>
      <c r="CT24" s="21"/>
      <c r="CU24" s="21"/>
      <c r="CV24" s="75"/>
      <c r="CW24" s="76"/>
    </row>
    <row r="25">
      <c r="A25" s="50"/>
      <c r="B25" s="59">
        <v>18.0</v>
      </c>
      <c r="C25" s="59" t="s">
        <v>61</v>
      </c>
      <c r="D25" s="60">
        <v>46189.0</v>
      </c>
      <c r="E25" s="61" t="s">
        <v>64</v>
      </c>
      <c r="F25" s="77"/>
      <c r="G25" s="77"/>
      <c r="H25" s="63" t="s">
        <v>65</v>
      </c>
      <c r="I25" s="33"/>
      <c r="J25" s="33"/>
      <c r="K25" s="52"/>
      <c r="L25" s="64"/>
      <c r="M25" s="65" t="s">
        <v>64</v>
      </c>
      <c r="N25" s="62">
        <v>0.0</v>
      </c>
      <c r="O25" s="62">
        <v>4.0</v>
      </c>
      <c r="P25" s="66" t="s">
        <v>65</v>
      </c>
      <c r="Q25" s="54"/>
      <c r="R25" s="54"/>
      <c r="S25" s="67"/>
      <c r="T25" s="78"/>
      <c r="U25" s="70"/>
      <c r="V25" s="64"/>
      <c r="W25" s="65" t="s">
        <v>64</v>
      </c>
      <c r="X25" s="62">
        <v>0.0</v>
      </c>
      <c r="Y25" s="62">
        <v>4.0</v>
      </c>
      <c r="Z25" s="66" t="s">
        <v>65</v>
      </c>
      <c r="AA25" s="54"/>
      <c r="AB25" s="54"/>
      <c r="AC25" s="67"/>
      <c r="AD25" s="78"/>
      <c r="AE25" s="70"/>
      <c r="AF25" s="64"/>
      <c r="AG25" s="65" t="s">
        <v>64</v>
      </c>
      <c r="AH25" s="62">
        <v>1.0</v>
      </c>
      <c r="AI25" s="62">
        <v>3.0</v>
      </c>
      <c r="AJ25" s="66" t="s">
        <v>65</v>
      </c>
      <c r="AK25" s="54"/>
      <c r="AL25" s="54"/>
      <c r="AM25" s="67"/>
      <c r="AN25" s="78"/>
      <c r="AO25" s="70"/>
      <c r="AP25" s="64"/>
      <c r="AQ25" s="65" t="s">
        <v>64</v>
      </c>
      <c r="AR25" s="62">
        <v>0.0</v>
      </c>
      <c r="AS25" s="62">
        <v>3.0</v>
      </c>
      <c r="AT25" s="66" t="s">
        <v>65</v>
      </c>
      <c r="AU25" s="54"/>
      <c r="AV25" s="54"/>
      <c r="AW25" s="67"/>
      <c r="AX25" s="78"/>
      <c r="AY25" s="70"/>
      <c r="AZ25" s="64"/>
      <c r="BA25" s="65" t="s">
        <v>64</v>
      </c>
      <c r="BB25" s="62">
        <v>1.0</v>
      </c>
      <c r="BC25" s="62">
        <v>4.0</v>
      </c>
      <c r="BD25" s="66" t="s">
        <v>65</v>
      </c>
      <c r="BE25" s="54"/>
      <c r="BF25" s="54"/>
      <c r="BG25" s="67"/>
      <c r="BH25" s="78"/>
      <c r="BI25" s="70"/>
      <c r="BJ25" s="64"/>
      <c r="BK25" s="65" t="s">
        <v>64</v>
      </c>
      <c r="BL25" s="62">
        <v>0.0</v>
      </c>
      <c r="BM25" s="62">
        <v>2.0</v>
      </c>
      <c r="BN25" s="66" t="s">
        <v>65</v>
      </c>
      <c r="BO25" s="54"/>
      <c r="BP25" s="54"/>
      <c r="BQ25" s="67"/>
      <c r="BR25" s="78"/>
      <c r="BS25" s="70"/>
      <c r="BT25" s="64"/>
      <c r="BU25" s="65" t="s">
        <v>64</v>
      </c>
      <c r="BV25" s="62">
        <v>0.0</v>
      </c>
      <c r="BW25" s="62">
        <v>1.0</v>
      </c>
      <c r="BX25" s="66" t="s">
        <v>65</v>
      </c>
      <c r="BY25" s="54"/>
      <c r="BZ25" s="54"/>
      <c r="CA25" s="67"/>
      <c r="CB25" s="78"/>
      <c r="CC25" s="70"/>
      <c r="CD25" s="64"/>
      <c r="CE25" s="65" t="s">
        <v>64</v>
      </c>
      <c r="CF25" s="62">
        <v>0.0</v>
      </c>
      <c r="CG25" s="62">
        <v>3.0</v>
      </c>
      <c r="CH25" s="66" t="s">
        <v>65</v>
      </c>
      <c r="CI25" s="54"/>
      <c r="CJ25" s="54"/>
      <c r="CK25" s="67"/>
      <c r="CL25" s="78"/>
      <c r="CM25" s="70"/>
      <c r="CN25" s="72"/>
      <c r="CO25" s="73" t="s">
        <v>64</v>
      </c>
      <c r="CP25" s="74"/>
      <c r="CQ25" s="74"/>
      <c r="CR25" s="21" t="s">
        <v>65</v>
      </c>
      <c r="CS25" s="21"/>
      <c r="CT25" s="21"/>
      <c r="CU25" s="21"/>
      <c r="CV25" s="75"/>
      <c r="CW25" s="76"/>
    </row>
    <row r="26">
      <c r="A26" s="50"/>
      <c r="B26" s="59">
        <v>19.0</v>
      </c>
      <c r="C26" s="59" t="s">
        <v>66</v>
      </c>
      <c r="D26" s="60">
        <v>46189.0</v>
      </c>
      <c r="E26" s="61" t="s">
        <v>67</v>
      </c>
      <c r="F26" s="77"/>
      <c r="G26" s="77"/>
      <c r="H26" s="63" t="s">
        <v>68</v>
      </c>
      <c r="I26" s="33"/>
      <c r="J26" s="33"/>
      <c r="K26" s="52"/>
      <c r="L26" s="64"/>
      <c r="M26" s="65" t="s">
        <v>67</v>
      </c>
      <c r="N26" s="62">
        <v>2.0</v>
      </c>
      <c r="O26" s="62">
        <v>0.0</v>
      </c>
      <c r="P26" s="66" t="s">
        <v>68</v>
      </c>
      <c r="Q26" s="54"/>
      <c r="R26" s="54"/>
      <c r="S26" s="67"/>
      <c r="T26" s="78"/>
      <c r="U26" s="70"/>
      <c r="V26" s="64"/>
      <c r="W26" s="65" t="s">
        <v>67</v>
      </c>
      <c r="X26" s="62">
        <v>3.0</v>
      </c>
      <c r="Y26" s="62">
        <v>0.0</v>
      </c>
      <c r="Z26" s="66" t="s">
        <v>68</v>
      </c>
      <c r="AA26" s="54"/>
      <c r="AB26" s="54"/>
      <c r="AC26" s="67"/>
      <c r="AD26" s="78"/>
      <c r="AE26" s="70"/>
      <c r="AF26" s="64"/>
      <c r="AG26" s="65" t="s">
        <v>67</v>
      </c>
      <c r="AH26" s="62">
        <v>4.0</v>
      </c>
      <c r="AI26" s="62">
        <v>1.0</v>
      </c>
      <c r="AJ26" s="66" t="s">
        <v>68</v>
      </c>
      <c r="AK26" s="54"/>
      <c r="AL26" s="54"/>
      <c r="AM26" s="67"/>
      <c r="AN26" s="78"/>
      <c r="AO26" s="70"/>
      <c r="AP26" s="64"/>
      <c r="AQ26" s="65" t="s">
        <v>67</v>
      </c>
      <c r="AR26" s="62">
        <v>2.0</v>
      </c>
      <c r="AS26" s="62">
        <v>1.0</v>
      </c>
      <c r="AT26" s="66" t="s">
        <v>68</v>
      </c>
      <c r="AU26" s="54"/>
      <c r="AV26" s="54"/>
      <c r="AW26" s="67"/>
      <c r="AX26" s="78"/>
      <c r="AY26" s="70"/>
      <c r="AZ26" s="64"/>
      <c r="BA26" s="65" t="s">
        <v>67</v>
      </c>
      <c r="BB26" s="62">
        <v>3.0</v>
      </c>
      <c r="BC26" s="62">
        <v>0.0</v>
      </c>
      <c r="BD26" s="66" t="s">
        <v>68</v>
      </c>
      <c r="BE26" s="54"/>
      <c r="BF26" s="54"/>
      <c r="BG26" s="67"/>
      <c r="BH26" s="78"/>
      <c r="BI26" s="70"/>
      <c r="BJ26" s="64"/>
      <c r="BK26" s="65" t="s">
        <v>67</v>
      </c>
      <c r="BL26" s="62">
        <v>1.0</v>
      </c>
      <c r="BM26" s="62">
        <v>2.0</v>
      </c>
      <c r="BN26" s="66" t="s">
        <v>68</v>
      </c>
      <c r="BO26" s="54"/>
      <c r="BP26" s="54"/>
      <c r="BQ26" s="67"/>
      <c r="BR26" s="78"/>
      <c r="BS26" s="70"/>
      <c r="BT26" s="64"/>
      <c r="BU26" s="65" t="s">
        <v>67</v>
      </c>
      <c r="BV26" s="62">
        <v>3.0</v>
      </c>
      <c r="BW26" s="62">
        <v>2.0</v>
      </c>
      <c r="BX26" s="66" t="s">
        <v>68</v>
      </c>
      <c r="BY26" s="54"/>
      <c r="BZ26" s="54"/>
      <c r="CA26" s="67"/>
      <c r="CB26" s="78"/>
      <c r="CC26" s="70"/>
      <c r="CD26" s="64"/>
      <c r="CE26" s="65" t="s">
        <v>67</v>
      </c>
      <c r="CF26" s="62">
        <v>3.0</v>
      </c>
      <c r="CG26" s="62">
        <v>1.0</v>
      </c>
      <c r="CH26" s="66" t="s">
        <v>68</v>
      </c>
      <c r="CI26" s="54"/>
      <c r="CJ26" s="54"/>
      <c r="CK26" s="67"/>
      <c r="CL26" s="78"/>
      <c r="CM26" s="70"/>
      <c r="CN26" s="72"/>
      <c r="CO26" s="73" t="s">
        <v>67</v>
      </c>
      <c r="CP26" s="74"/>
      <c r="CQ26" s="74"/>
      <c r="CR26" s="21" t="s">
        <v>68</v>
      </c>
      <c r="CS26" s="21"/>
      <c r="CT26" s="21"/>
      <c r="CU26" s="21"/>
      <c r="CV26" s="75"/>
      <c r="CW26" s="76"/>
    </row>
    <row r="27">
      <c r="A27" s="50"/>
      <c r="B27" s="59">
        <v>20.0</v>
      </c>
      <c r="C27" s="59" t="s">
        <v>66</v>
      </c>
      <c r="D27" s="60">
        <v>46189.0</v>
      </c>
      <c r="E27" s="61" t="s">
        <v>69</v>
      </c>
      <c r="F27" s="77"/>
      <c r="G27" s="77"/>
      <c r="H27" s="63" t="s">
        <v>70</v>
      </c>
      <c r="I27" s="33"/>
      <c r="J27" s="33"/>
      <c r="K27" s="52"/>
      <c r="L27" s="64"/>
      <c r="M27" s="65" t="s">
        <v>69</v>
      </c>
      <c r="N27" s="62">
        <v>4.0</v>
      </c>
      <c r="O27" s="62">
        <v>0.0</v>
      </c>
      <c r="P27" s="66" t="s">
        <v>70</v>
      </c>
      <c r="Q27" s="54"/>
      <c r="R27" s="54"/>
      <c r="S27" s="67"/>
      <c r="T27" s="78"/>
      <c r="U27" s="70"/>
      <c r="V27" s="64"/>
      <c r="W27" s="65" t="s">
        <v>69</v>
      </c>
      <c r="X27" s="62">
        <v>1.0</v>
      </c>
      <c r="Y27" s="62">
        <v>0.0</v>
      </c>
      <c r="Z27" s="66" t="s">
        <v>70</v>
      </c>
      <c r="AA27" s="54"/>
      <c r="AB27" s="54"/>
      <c r="AC27" s="67"/>
      <c r="AD27" s="78"/>
      <c r="AE27" s="70"/>
      <c r="AF27" s="64"/>
      <c r="AG27" s="65" t="s">
        <v>69</v>
      </c>
      <c r="AH27" s="62">
        <v>2.0</v>
      </c>
      <c r="AI27" s="62">
        <v>0.0</v>
      </c>
      <c r="AJ27" s="66" t="s">
        <v>70</v>
      </c>
      <c r="AK27" s="54"/>
      <c r="AL27" s="54"/>
      <c r="AM27" s="67"/>
      <c r="AN27" s="78"/>
      <c r="AO27" s="70"/>
      <c r="AP27" s="64"/>
      <c r="AQ27" s="65" t="s">
        <v>69</v>
      </c>
      <c r="AR27" s="62">
        <v>2.0</v>
      </c>
      <c r="AS27" s="62">
        <v>1.0</v>
      </c>
      <c r="AT27" s="66" t="s">
        <v>70</v>
      </c>
      <c r="AU27" s="54"/>
      <c r="AV27" s="54"/>
      <c r="AW27" s="67"/>
      <c r="AX27" s="78"/>
      <c r="AY27" s="70"/>
      <c r="AZ27" s="64"/>
      <c r="BA27" s="65" t="s">
        <v>69</v>
      </c>
      <c r="BB27" s="62">
        <v>1.0</v>
      </c>
      <c r="BC27" s="62">
        <v>1.0</v>
      </c>
      <c r="BD27" s="66" t="s">
        <v>70</v>
      </c>
      <c r="BE27" s="54"/>
      <c r="BF27" s="54"/>
      <c r="BG27" s="67"/>
      <c r="BH27" s="78"/>
      <c r="BI27" s="70"/>
      <c r="BJ27" s="64"/>
      <c r="BK27" s="65" t="s">
        <v>69</v>
      </c>
      <c r="BL27" s="62">
        <v>2.0</v>
      </c>
      <c r="BM27" s="62">
        <v>0.0</v>
      </c>
      <c r="BN27" s="66" t="s">
        <v>70</v>
      </c>
      <c r="BO27" s="54"/>
      <c r="BP27" s="54"/>
      <c r="BQ27" s="67"/>
      <c r="BR27" s="78"/>
      <c r="BS27" s="70"/>
      <c r="BT27" s="64"/>
      <c r="BU27" s="65" t="s">
        <v>69</v>
      </c>
      <c r="BV27" s="62">
        <v>2.0</v>
      </c>
      <c r="BW27" s="62">
        <v>1.0</v>
      </c>
      <c r="BX27" s="66" t="s">
        <v>70</v>
      </c>
      <c r="BY27" s="54"/>
      <c r="BZ27" s="54"/>
      <c r="CA27" s="67"/>
      <c r="CB27" s="78"/>
      <c r="CC27" s="70"/>
      <c r="CD27" s="64"/>
      <c r="CE27" s="65" t="s">
        <v>69</v>
      </c>
      <c r="CF27" s="62">
        <v>2.0</v>
      </c>
      <c r="CG27" s="62">
        <v>0.0</v>
      </c>
      <c r="CH27" s="66" t="s">
        <v>70</v>
      </c>
      <c r="CI27" s="54"/>
      <c r="CJ27" s="54"/>
      <c r="CK27" s="67"/>
      <c r="CL27" s="78"/>
      <c r="CM27" s="70"/>
      <c r="CN27" s="72"/>
      <c r="CO27" s="73" t="s">
        <v>69</v>
      </c>
      <c r="CP27" s="74"/>
      <c r="CQ27" s="74"/>
      <c r="CR27" s="21" t="s">
        <v>70</v>
      </c>
      <c r="CS27" s="21"/>
      <c r="CT27" s="21"/>
      <c r="CU27" s="21"/>
      <c r="CV27" s="75"/>
      <c r="CW27" s="76"/>
    </row>
    <row r="28">
      <c r="A28" s="50"/>
      <c r="B28" s="59">
        <v>21.0</v>
      </c>
      <c r="C28" s="59" t="s">
        <v>71</v>
      </c>
      <c r="D28" s="60">
        <v>46190.0</v>
      </c>
      <c r="E28" s="61" t="s">
        <v>72</v>
      </c>
      <c r="F28" s="77"/>
      <c r="G28" s="77"/>
      <c r="H28" s="63" t="s">
        <v>73</v>
      </c>
      <c r="I28" s="33"/>
      <c r="J28" s="33"/>
      <c r="K28" s="52"/>
      <c r="L28" s="64"/>
      <c r="M28" s="65" t="s">
        <v>72</v>
      </c>
      <c r="N28" s="62">
        <v>3.0</v>
      </c>
      <c r="O28" s="62">
        <v>0.0</v>
      </c>
      <c r="P28" s="66" t="s">
        <v>73</v>
      </c>
      <c r="Q28" s="54"/>
      <c r="R28" s="54"/>
      <c r="S28" s="67"/>
      <c r="T28" s="78"/>
      <c r="U28" s="70"/>
      <c r="V28" s="64"/>
      <c r="W28" s="65" t="s">
        <v>72</v>
      </c>
      <c r="X28" s="62">
        <v>4.0</v>
      </c>
      <c r="Y28" s="62">
        <v>0.0</v>
      </c>
      <c r="Z28" s="66" t="s">
        <v>73</v>
      </c>
      <c r="AA28" s="54"/>
      <c r="AB28" s="54"/>
      <c r="AC28" s="67"/>
      <c r="AD28" s="78"/>
      <c r="AE28" s="70"/>
      <c r="AF28" s="64"/>
      <c r="AG28" s="65" t="s">
        <v>72</v>
      </c>
      <c r="AH28" s="62">
        <v>3.0</v>
      </c>
      <c r="AI28" s="62">
        <v>1.0</v>
      </c>
      <c r="AJ28" s="66" t="s">
        <v>73</v>
      </c>
      <c r="AK28" s="54"/>
      <c r="AL28" s="54"/>
      <c r="AM28" s="67"/>
      <c r="AN28" s="78"/>
      <c r="AO28" s="70"/>
      <c r="AP28" s="64"/>
      <c r="AQ28" s="65" t="s">
        <v>72</v>
      </c>
      <c r="AR28" s="62">
        <v>4.0</v>
      </c>
      <c r="AS28" s="62">
        <v>0.0</v>
      </c>
      <c r="AT28" s="66" t="s">
        <v>73</v>
      </c>
      <c r="AU28" s="54"/>
      <c r="AV28" s="54"/>
      <c r="AW28" s="67"/>
      <c r="AX28" s="78"/>
      <c r="AY28" s="70"/>
      <c r="AZ28" s="64"/>
      <c r="BA28" s="65" t="s">
        <v>72</v>
      </c>
      <c r="BB28" s="62">
        <v>2.0</v>
      </c>
      <c r="BC28" s="62">
        <v>2.0</v>
      </c>
      <c r="BD28" s="66" t="s">
        <v>73</v>
      </c>
      <c r="BE28" s="54"/>
      <c r="BF28" s="54"/>
      <c r="BG28" s="67"/>
      <c r="BH28" s="78"/>
      <c r="BI28" s="70"/>
      <c r="BJ28" s="64"/>
      <c r="BK28" s="65" t="s">
        <v>72</v>
      </c>
      <c r="BL28" s="62">
        <v>2.0</v>
      </c>
      <c r="BM28" s="62">
        <v>1.0</v>
      </c>
      <c r="BN28" s="66" t="s">
        <v>73</v>
      </c>
      <c r="BO28" s="54"/>
      <c r="BP28" s="54"/>
      <c r="BQ28" s="67"/>
      <c r="BR28" s="78"/>
      <c r="BS28" s="70"/>
      <c r="BT28" s="64"/>
      <c r="BU28" s="65" t="s">
        <v>72</v>
      </c>
      <c r="BV28" s="62">
        <v>3.0</v>
      </c>
      <c r="BW28" s="62">
        <v>0.0</v>
      </c>
      <c r="BX28" s="66" t="s">
        <v>73</v>
      </c>
      <c r="BY28" s="54"/>
      <c r="BZ28" s="54"/>
      <c r="CA28" s="67"/>
      <c r="CB28" s="78"/>
      <c r="CC28" s="70"/>
      <c r="CD28" s="64"/>
      <c r="CE28" s="65" t="s">
        <v>72</v>
      </c>
      <c r="CF28" s="62">
        <v>3.0</v>
      </c>
      <c r="CG28" s="62">
        <v>1.0</v>
      </c>
      <c r="CH28" s="66" t="s">
        <v>73</v>
      </c>
      <c r="CI28" s="54"/>
      <c r="CJ28" s="54"/>
      <c r="CK28" s="67"/>
      <c r="CL28" s="78"/>
      <c r="CM28" s="70"/>
      <c r="CN28" s="72"/>
      <c r="CO28" s="73" t="s">
        <v>72</v>
      </c>
      <c r="CP28" s="74"/>
      <c r="CQ28" s="74"/>
      <c r="CR28" s="21" t="s">
        <v>73</v>
      </c>
      <c r="CS28" s="21"/>
      <c r="CT28" s="21"/>
      <c r="CU28" s="21"/>
      <c r="CV28" s="75"/>
      <c r="CW28" s="76"/>
    </row>
    <row r="29">
      <c r="A29" s="50"/>
      <c r="B29" s="59">
        <v>22.0</v>
      </c>
      <c r="C29" s="59" t="s">
        <v>71</v>
      </c>
      <c r="D29" s="60">
        <v>46190.0</v>
      </c>
      <c r="E29" s="61" t="s">
        <v>74</v>
      </c>
      <c r="F29" s="77"/>
      <c r="G29" s="77"/>
      <c r="H29" s="63" t="s">
        <v>75</v>
      </c>
      <c r="I29" s="33"/>
      <c r="J29" s="33"/>
      <c r="K29" s="52"/>
      <c r="L29" s="64"/>
      <c r="M29" s="65" t="s">
        <v>74</v>
      </c>
      <c r="N29" s="62">
        <v>0.0</v>
      </c>
      <c r="O29" s="62">
        <v>2.0</v>
      </c>
      <c r="P29" s="66" t="s">
        <v>75</v>
      </c>
      <c r="Q29" s="54"/>
      <c r="R29" s="54"/>
      <c r="S29" s="67"/>
      <c r="T29" s="78"/>
      <c r="U29" s="70"/>
      <c r="V29" s="64"/>
      <c r="W29" s="65" t="s">
        <v>74</v>
      </c>
      <c r="X29" s="62">
        <v>0.0</v>
      </c>
      <c r="Y29" s="62">
        <v>1.0</v>
      </c>
      <c r="Z29" s="66" t="s">
        <v>75</v>
      </c>
      <c r="AA29" s="54"/>
      <c r="AB29" s="54"/>
      <c r="AC29" s="67"/>
      <c r="AD29" s="78"/>
      <c r="AE29" s="70"/>
      <c r="AF29" s="64"/>
      <c r="AG29" s="65" t="s">
        <v>74</v>
      </c>
      <c r="AH29" s="62">
        <v>0.0</v>
      </c>
      <c r="AI29" s="62">
        <v>0.0</v>
      </c>
      <c r="AJ29" s="66" t="s">
        <v>75</v>
      </c>
      <c r="AK29" s="54"/>
      <c r="AL29" s="54"/>
      <c r="AM29" s="67"/>
      <c r="AN29" s="78"/>
      <c r="AO29" s="70"/>
      <c r="AP29" s="64"/>
      <c r="AQ29" s="65" t="s">
        <v>74</v>
      </c>
      <c r="AR29" s="62">
        <v>0.0</v>
      </c>
      <c r="AS29" s="62">
        <v>1.0</v>
      </c>
      <c r="AT29" s="66" t="s">
        <v>75</v>
      </c>
      <c r="AU29" s="54"/>
      <c r="AV29" s="54"/>
      <c r="AW29" s="67"/>
      <c r="AX29" s="78"/>
      <c r="AY29" s="70"/>
      <c r="AZ29" s="64"/>
      <c r="BA29" s="65" t="s">
        <v>74</v>
      </c>
      <c r="BB29" s="62">
        <v>0.0</v>
      </c>
      <c r="BC29" s="62">
        <v>3.0</v>
      </c>
      <c r="BD29" s="66" t="s">
        <v>75</v>
      </c>
      <c r="BE29" s="54"/>
      <c r="BF29" s="54"/>
      <c r="BG29" s="67"/>
      <c r="BH29" s="78"/>
      <c r="BI29" s="70"/>
      <c r="BJ29" s="64"/>
      <c r="BK29" s="65" t="s">
        <v>74</v>
      </c>
      <c r="BL29" s="62">
        <v>0.0</v>
      </c>
      <c r="BM29" s="62">
        <v>1.0</v>
      </c>
      <c r="BN29" s="66" t="s">
        <v>75</v>
      </c>
      <c r="BO29" s="54"/>
      <c r="BP29" s="54"/>
      <c r="BQ29" s="67"/>
      <c r="BR29" s="78"/>
      <c r="BS29" s="70"/>
      <c r="BT29" s="64"/>
      <c r="BU29" s="65" t="s">
        <v>74</v>
      </c>
      <c r="BV29" s="62">
        <v>0.0</v>
      </c>
      <c r="BW29" s="62">
        <v>1.0</v>
      </c>
      <c r="BX29" s="66" t="s">
        <v>75</v>
      </c>
      <c r="BY29" s="54"/>
      <c r="BZ29" s="54"/>
      <c r="CA29" s="67"/>
      <c r="CB29" s="78"/>
      <c r="CC29" s="70"/>
      <c r="CD29" s="64"/>
      <c r="CE29" s="65" t="s">
        <v>74</v>
      </c>
      <c r="CF29" s="62">
        <v>1.0</v>
      </c>
      <c r="CG29" s="62">
        <v>1.0</v>
      </c>
      <c r="CH29" s="66" t="s">
        <v>75</v>
      </c>
      <c r="CI29" s="54"/>
      <c r="CJ29" s="54"/>
      <c r="CK29" s="67"/>
      <c r="CL29" s="78"/>
      <c r="CM29" s="70"/>
      <c r="CN29" s="72"/>
      <c r="CO29" s="73" t="s">
        <v>74</v>
      </c>
      <c r="CP29" s="74"/>
      <c r="CQ29" s="74"/>
      <c r="CR29" s="21" t="s">
        <v>75</v>
      </c>
      <c r="CS29" s="21"/>
      <c r="CT29" s="21"/>
      <c r="CU29" s="21"/>
      <c r="CV29" s="75"/>
      <c r="CW29" s="76"/>
    </row>
    <row r="30">
      <c r="A30" s="50"/>
      <c r="B30" s="59">
        <v>23.0</v>
      </c>
      <c r="C30" s="59" t="s">
        <v>76</v>
      </c>
      <c r="D30" s="60">
        <v>46190.0</v>
      </c>
      <c r="E30" s="61" t="s">
        <v>77</v>
      </c>
      <c r="F30" s="77"/>
      <c r="G30" s="77"/>
      <c r="H30" s="63" t="s">
        <v>78</v>
      </c>
      <c r="I30" s="33"/>
      <c r="J30" s="33"/>
      <c r="K30" s="52"/>
      <c r="L30" s="64"/>
      <c r="M30" s="65" t="s">
        <v>77</v>
      </c>
      <c r="N30" s="62">
        <v>0.0</v>
      </c>
      <c r="O30" s="62">
        <v>0.0</v>
      </c>
      <c r="P30" s="66" t="s">
        <v>78</v>
      </c>
      <c r="Q30" s="54"/>
      <c r="R30" s="54"/>
      <c r="S30" s="67"/>
      <c r="T30" s="78"/>
      <c r="U30" s="70"/>
      <c r="V30" s="64"/>
      <c r="W30" s="65" t="s">
        <v>77</v>
      </c>
      <c r="X30" s="62">
        <v>2.0</v>
      </c>
      <c r="Y30" s="62">
        <v>0.0</v>
      </c>
      <c r="Z30" s="66" t="s">
        <v>78</v>
      </c>
      <c r="AA30" s="54"/>
      <c r="AB30" s="54"/>
      <c r="AC30" s="67"/>
      <c r="AD30" s="78"/>
      <c r="AE30" s="70"/>
      <c r="AF30" s="64"/>
      <c r="AG30" s="65" t="s">
        <v>77</v>
      </c>
      <c r="AH30" s="62">
        <v>2.0</v>
      </c>
      <c r="AI30" s="62">
        <v>1.0</v>
      </c>
      <c r="AJ30" s="66" t="s">
        <v>78</v>
      </c>
      <c r="AK30" s="54"/>
      <c r="AL30" s="54"/>
      <c r="AM30" s="67"/>
      <c r="AN30" s="78"/>
      <c r="AO30" s="70"/>
      <c r="AP30" s="64"/>
      <c r="AQ30" s="65" t="s">
        <v>77</v>
      </c>
      <c r="AR30" s="62">
        <v>4.0</v>
      </c>
      <c r="AS30" s="62">
        <v>0.0</v>
      </c>
      <c r="AT30" s="66" t="s">
        <v>78</v>
      </c>
      <c r="AU30" s="54"/>
      <c r="AV30" s="54"/>
      <c r="AW30" s="67"/>
      <c r="AX30" s="78"/>
      <c r="AY30" s="70"/>
      <c r="AZ30" s="64"/>
      <c r="BA30" s="65" t="s">
        <v>77</v>
      </c>
      <c r="BB30" s="62">
        <v>3.0</v>
      </c>
      <c r="BC30" s="62">
        <v>0.0</v>
      </c>
      <c r="BD30" s="66" t="s">
        <v>78</v>
      </c>
      <c r="BE30" s="54"/>
      <c r="BF30" s="54"/>
      <c r="BG30" s="67"/>
      <c r="BH30" s="78"/>
      <c r="BI30" s="70"/>
      <c r="BJ30" s="64"/>
      <c r="BK30" s="65" t="s">
        <v>77</v>
      </c>
      <c r="BL30" s="62">
        <v>1.0</v>
      </c>
      <c r="BM30" s="62">
        <v>2.0</v>
      </c>
      <c r="BN30" s="66" t="s">
        <v>78</v>
      </c>
      <c r="BO30" s="54"/>
      <c r="BP30" s="54"/>
      <c r="BQ30" s="67"/>
      <c r="BR30" s="78"/>
      <c r="BS30" s="70"/>
      <c r="BT30" s="64"/>
      <c r="BU30" s="65" t="s">
        <v>77</v>
      </c>
      <c r="BV30" s="62">
        <v>2.0</v>
      </c>
      <c r="BW30" s="62">
        <v>1.0</v>
      </c>
      <c r="BX30" s="66" t="s">
        <v>78</v>
      </c>
      <c r="BY30" s="54"/>
      <c r="BZ30" s="54"/>
      <c r="CA30" s="67"/>
      <c r="CB30" s="78"/>
      <c r="CC30" s="70"/>
      <c r="CD30" s="64"/>
      <c r="CE30" s="65" t="s">
        <v>77</v>
      </c>
      <c r="CF30" s="62">
        <v>1.0</v>
      </c>
      <c r="CG30" s="62">
        <v>1.0</v>
      </c>
      <c r="CH30" s="66" t="s">
        <v>78</v>
      </c>
      <c r="CI30" s="54"/>
      <c r="CJ30" s="54"/>
      <c r="CK30" s="67"/>
      <c r="CL30" s="78"/>
      <c r="CM30" s="70"/>
      <c r="CN30" s="72"/>
      <c r="CO30" s="73" t="s">
        <v>77</v>
      </c>
      <c r="CP30" s="74"/>
      <c r="CQ30" s="74"/>
      <c r="CR30" s="21" t="s">
        <v>78</v>
      </c>
      <c r="CS30" s="21"/>
      <c r="CT30" s="21"/>
      <c r="CU30" s="21"/>
      <c r="CV30" s="75"/>
      <c r="CW30" s="76"/>
    </row>
    <row r="31">
      <c r="A31" s="79"/>
      <c r="B31" s="80">
        <v>24.0</v>
      </c>
      <c r="C31" s="80" t="s">
        <v>76</v>
      </c>
      <c r="D31" s="81">
        <v>46190.0</v>
      </c>
      <c r="E31" s="82" t="s">
        <v>79</v>
      </c>
      <c r="F31" s="77"/>
      <c r="G31" s="77"/>
      <c r="H31" s="83" t="s">
        <v>80</v>
      </c>
      <c r="I31" s="84"/>
      <c r="J31" s="84"/>
      <c r="K31" s="85"/>
      <c r="L31" s="86"/>
      <c r="M31" s="87" t="s">
        <v>79</v>
      </c>
      <c r="N31" s="62">
        <v>1.0</v>
      </c>
      <c r="O31" s="62">
        <v>0.0</v>
      </c>
      <c r="P31" s="88" t="s">
        <v>80</v>
      </c>
      <c r="Q31" s="89"/>
      <c r="R31" s="89"/>
      <c r="S31" s="90"/>
      <c r="T31" s="91"/>
      <c r="U31" s="92"/>
      <c r="V31" s="86"/>
      <c r="W31" s="87" t="s">
        <v>79</v>
      </c>
      <c r="X31" s="62">
        <v>2.0</v>
      </c>
      <c r="Y31" s="62">
        <v>1.0</v>
      </c>
      <c r="Z31" s="88" t="s">
        <v>80</v>
      </c>
      <c r="AA31" s="89"/>
      <c r="AB31" s="89"/>
      <c r="AC31" s="90"/>
      <c r="AD31" s="91"/>
      <c r="AE31" s="92"/>
      <c r="AF31" s="86"/>
      <c r="AG31" s="87" t="s">
        <v>79</v>
      </c>
      <c r="AH31" s="62">
        <v>1.0</v>
      </c>
      <c r="AI31" s="62">
        <v>0.0</v>
      </c>
      <c r="AJ31" s="88" t="s">
        <v>80</v>
      </c>
      <c r="AK31" s="89"/>
      <c r="AL31" s="89"/>
      <c r="AM31" s="90"/>
      <c r="AN31" s="91"/>
      <c r="AO31" s="92"/>
      <c r="AP31" s="86"/>
      <c r="AQ31" s="87" t="s">
        <v>79</v>
      </c>
      <c r="AR31" s="62">
        <v>0.0</v>
      </c>
      <c r="AS31" s="62">
        <v>0.0</v>
      </c>
      <c r="AT31" s="88" t="s">
        <v>80</v>
      </c>
      <c r="AU31" s="89"/>
      <c r="AV31" s="89"/>
      <c r="AW31" s="90"/>
      <c r="AX31" s="91"/>
      <c r="AY31" s="92"/>
      <c r="AZ31" s="86"/>
      <c r="BA31" s="87" t="s">
        <v>79</v>
      </c>
      <c r="BB31" s="62">
        <v>2.0</v>
      </c>
      <c r="BC31" s="62">
        <v>0.0</v>
      </c>
      <c r="BD31" s="88" t="s">
        <v>80</v>
      </c>
      <c r="BE31" s="89"/>
      <c r="BF31" s="89"/>
      <c r="BG31" s="90"/>
      <c r="BH31" s="91"/>
      <c r="BI31" s="92"/>
      <c r="BJ31" s="86"/>
      <c r="BK31" s="87" t="s">
        <v>79</v>
      </c>
      <c r="BL31" s="62">
        <v>1.0</v>
      </c>
      <c r="BM31" s="62">
        <v>0.0</v>
      </c>
      <c r="BN31" s="88" t="s">
        <v>80</v>
      </c>
      <c r="BO31" s="89"/>
      <c r="BP31" s="89"/>
      <c r="BQ31" s="90"/>
      <c r="BR31" s="91"/>
      <c r="BS31" s="92"/>
      <c r="BT31" s="86"/>
      <c r="BU31" s="87" t="s">
        <v>79</v>
      </c>
      <c r="BV31" s="62">
        <v>1.0</v>
      </c>
      <c r="BW31" s="62">
        <v>0.0</v>
      </c>
      <c r="BX31" s="88" t="s">
        <v>80</v>
      </c>
      <c r="BY31" s="89"/>
      <c r="BZ31" s="89"/>
      <c r="CA31" s="90"/>
      <c r="CB31" s="91"/>
      <c r="CC31" s="92"/>
      <c r="CD31" s="86"/>
      <c r="CE31" s="87" t="s">
        <v>79</v>
      </c>
      <c r="CF31" s="62">
        <v>0.0</v>
      </c>
      <c r="CG31" s="62">
        <v>1.0</v>
      </c>
      <c r="CH31" s="88" t="s">
        <v>80</v>
      </c>
      <c r="CI31" s="89"/>
      <c r="CJ31" s="89"/>
      <c r="CK31" s="90"/>
      <c r="CL31" s="91"/>
      <c r="CM31" s="92"/>
      <c r="CN31" s="93"/>
      <c r="CO31" s="94" t="s">
        <v>79</v>
      </c>
      <c r="CP31" s="74"/>
      <c r="CQ31" s="74"/>
      <c r="CR31" s="95" t="s">
        <v>80</v>
      </c>
      <c r="CS31" s="95"/>
      <c r="CT31" s="95"/>
      <c r="CU31" s="95"/>
      <c r="CV31" s="96"/>
      <c r="CW31" s="97"/>
    </row>
    <row r="32">
      <c r="A32" s="98"/>
      <c r="B32" s="99">
        <v>25.0</v>
      </c>
      <c r="C32" s="99" t="s">
        <v>21</v>
      </c>
      <c r="D32" s="100">
        <v>46191.0</v>
      </c>
      <c r="E32" s="61" t="s">
        <v>25</v>
      </c>
      <c r="F32" s="77"/>
      <c r="G32" s="77"/>
      <c r="H32" s="63" t="s">
        <v>23</v>
      </c>
      <c r="I32" s="101"/>
      <c r="J32" s="101"/>
      <c r="K32" s="102"/>
      <c r="L32" s="64"/>
      <c r="M32" s="65" t="s">
        <v>25</v>
      </c>
      <c r="N32" s="77"/>
      <c r="O32" s="77"/>
      <c r="P32" s="66" t="s">
        <v>23</v>
      </c>
      <c r="Q32" s="54"/>
      <c r="R32" s="54"/>
      <c r="S32" s="67"/>
      <c r="T32" s="78"/>
      <c r="U32" s="70"/>
      <c r="V32" s="64"/>
      <c r="W32" s="65" t="s">
        <v>25</v>
      </c>
      <c r="X32" s="62">
        <v>1.0</v>
      </c>
      <c r="Y32" s="62">
        <v>0.0</v>
      </c>
      <c r="Z32" s="66" t="s">
        <v>23</v>
      </c>
      <c r="AA32" s="54"/>
      <c r="AB32" s="54"/>
      <c r="AC32" s="67"/>
      <c r="AD32" s="78"/>
      <c r="AE32" s="70"/>
      <c r="AF32" s="64"/>
      <c r="AG32" s="65" t="s">
        <v>25</v>
      </c>
      <c r="AH32" s="77"/>
      <c r="AI32" s="77"/>
      <c r="AJ32" s="66" t="s">
        <v>23</v>
      </c>
      <c r="AK32" s="54"/>
      <c r="AL32" s="54"/>
      <c r="AM32" s="67"/>
      <c r="AN32" s="78"/>
      <c r="AO32" s="70"/>
      <c r="AP32" s="64"/>
      <c r="AQ32" s="65" t="s">
        <v>25</v>
      </c>
      <c r="AR32" s="77"/>
      <c r="AS32" s="77"/>
      <c r="AT32" s="66" t="s">
        <v>23</v>
      </c>
      <c r="AU32" s="54"/>
      <c r="AV32" s="54"/>
      <c r="AW32" s="67"/>
      <c r="AX32" s="78"/>
      <c r="AY32" s="70"/>
      <c r="AZ32" s="64"/>
      <c r="BA32" s="65" t="s">
        <v>25</v>
      </c>
      <c r="BB32" s="77"/>
      <c r="BC32" s="77"/>
      <c r="BD32" s="66" t="s">
        <v>23</v>
      </c>
      <c r="BE32" s="54"/>
      <c r="BF32" s="54"/>
      <c r="BG32" s="67"/>
      <c r="BH32" s="78"/>
      <c r="BI32" s="70"/>
      <c r="BJ32" s="64"/>
      <c r="BK32" s="65" t="s">
        <v>25</v>
      </c>
      <c r="BL32" s="62">
        <v>0.0</v>
      </c>
      <c r="BM32" s="62">
        <v>1.0</v>
      </c>
      <c r="BN32" s="66" t="s">
        <v>23</v>
      </c>
      <c r="BO32" s="54"/>
      <c r="BP32" s="54"/>
      <c r="BQ32" s="67"/>
      <c r="BR32" s="78"/>
      <c r="BS32" s="70"/>
      <c r="BT32" s="64"/>
      <c r="BU32" s="65" t="s">
        <v>25</v>
      </c>
      <c r="BV32" s="62"/>
      <c r="BW32" s="62"/>
      <c r="BX32" s="66" t="s">
        <v>23</v>
      </c>
      <c r="BY32" s="54"/>
      <c r="BZ32" s="54"/>
      <c r="CA32" s="67"/>
      <c r="CB32" s="78"/>
      <c r="CC32" s="70"/>
      <c r="CD32" s="64"/>
      <c r="CE32" s="65" t="s">
        <v>25</v>
      </c>
      <c r="CF32" s="62">
        <v>1.0</v>
      </c>
      <c r="CG32" s="62">
        <v>1.0</v>
      </c>
      <c r="CH32" s="66" t="s">
        <v>23</v>
      </c>
      <c r="CI32" s="54"/>
      <c r="CJ32" s="54"/>
      <c r="CK32" s="67"/>
      <c r="CL32" s="78"/>
      <c r="CM32" s="70"/>
      <c r="CN32" s="72"/>
      <c r="CO32" s="73" t="s">
        <v>25</v>
      </c>
      <c r="CP32" s="74"/>
      <c r="CQ32" s="74"/>
      <c r="CR32" s="21" t="s">
        <v>23</v>
      </c>
      <c r="CS32" s="21"/>
      <c r="CT32" s="21"/>
      <c r="CU32" s="21"/>
      <c r="CV32" s="75"/>
      <c r="CW32" s="76"/>
    </row>
    <row r="33">
      <c r="A33" s="50"/>
      <c r="B33" s="59">
        <v>26.0</v>
      </c>
      <c r="C33" s="59" t="s">
        <v>21</v>
      </c>
      <c r="D33" s="60">
        <v>46191.0</v>
      </c>
      <c r="E33" s="61" t="s">
        <v>22</v>
      </c>
      <c r="F33" s="77"/>
      <c r="G33" s="77"/>
      <c r="H33" s="63" t="s">
        <v>24</v>
      </c>
      <c r="I33" s="33"/>
      <c r="J33" s="33"/>
      <c r="K33" s="52"/>
      <c r="L33" s="64"/>
      <c r="M33" s="65" t="s">
        <v>22</v>
      </c>
      <c r="N33" s="77"/>
      <c r="O33" s="77"/>
      <c r="P33" s="66" t="s">
        <v>24</v>
      </c>
      <c r="Q33" s="54"/>
      <c r="R33" s="54"/>
      <c r="S33" s="67"/>
      <c r="T33" s="78"/>
      <c r="U33" s="70"/>
      <c r="V33" s="64"/>
      <c r="W33" s="65" t="s">
        <v>22</v>
      </c>
      <c r="X33" s="62">
        <v>1.0</v>
      </c>
      <c r="Y33" s="62">
        <v>1.0</v>
      </c>
      <c r="Z33" s="66" t="s">
        <v>24</v>
      </c>
      <c r="AA33" s="54"/>
      <c r="AB33" s="54"/>
      <c r="AC33" s="67"/>
      <c r="AD33" s="78"/>
      <c r="AE33" s="70"/>
      <c r="AF33" s="64"/>
      <c r="AG33" s="65" t="s">
        <v>22</v>
      </c>
      <c r="AH33" s="77"/>
      <c r="AI33" s="77"/>
      <c r="AJ33" s="66" t="s">
        <v>24</v>
      </c>
      <c r="AK33" s="54"/>
      <c r="AL33" s="54"/>
      <c r="AM33" s="67"/>
      <c r="AN33" s="78"/>
      <c r="AO33" s="70"/>
      <c r="AP33" s="64"/>
      <c r="AQ33" s="65" t="s">
        <v>22</v>
      </c>
      <c r="AR33" s="77"/>
      <c r="AS33" s="77"/>
      <c r="AT33" s="66" t="s">
        <v>24</v>
      </c>
      <c r="AU33" s="54"/>
      <c r="AV33" s="54"/>
      <c r="AW33" s="67"/>
      <c r="AX33" s="78"/>
      <c r="AY33" s="70"/>
      <c r="AZ33" s="64"/>
      <c r="BA33" s="65" t="s">
        <v>22</v>
      </c>
      <c r="BB33" s="77"/>
      <c r="BC33" s="77"/>
      <c r="BD33" s="66" t="s">
        <v>24</v>
      </c>
      <c r="BE33" s="54"/>
      <c r="BF33" s="54"/>
      <c r="BG33" s="67"/>
      <c r="BH33" s="78"/>
      <c r="BI33" s="70"/>
      <c r="BJ33" s="64"/>
      <c r="BK33" s="65" t="s">
        <v>22</v>
      </c>
      <c r="BL33" s="62">
        <v>1.0</v>
      </c>
      <c r="BM33" s="62">
        <v>2.0</v>
      </c>
      <c r="BN33" s="66" t="s">
        <v>24</v>
      </c>
      <c r="BO33" s="54"/>
      <c r="BP33" s="54"/>
      <c r="BQ33" s="67"/>
      <c r="BR33" s="78"/>
      <c r="BS33" s="70"/>
      <c r="BT33" s="64"/>
      <c r="BU33" s="65" t="s">
        <v>22</v>
      </c>
      <c r="BV33" s="62"/>
      <c r="BW33" s="62"/>
      <c r="BX33" s="66" t="s">
        <v>24</v>
      </c>
      <c r="BY33" s="54"/>
      <c r="BZ33" s="54"/>
      <c r="CA33" s="67"/>
      <c r="CB33" s="78"/>
      <c r="CC33" s="70"/>
      <c r="CD33" s="64"/>
      <c r="CE33" s="65" t="s">
        <v>22</v>
      </c>
      <c r="CF33" s="62">
        <v>0.0</v>
      </c>
      <c r="CG33" s="62">
        <v>2.0</v>
      </c>
      <c r="CH33" s="66" t="s">
        <v>24</v>
      </c>
      <c r="CI33" s="54"/>
      <c r="CJ33" s="54"/>
      <c r="CK33" s="67"/>
      <c r="CL33" s="78"/>
      <c r="CM33" s="70"/>
      <c r="CN33" s="72"/>
      <c r="CO33" s="73" t="s">
        <v>22</v>
      </c>
      <c r="CP33" s="74"/>
      <c r="CQ33" s="74"/>
      <c r="CR33" s="21" t="s">
        <v>24</v>
      </c>
      <c r="CS33" s="21"/>
      <c r="CT33" s="21"/>
      <c r="CU33" s="21"/>
      <c r="CV33" s="75"/>
      <c r="CW33" s="76"/>
    </row>
    <row r="34">
      <c r="A34" s="50"/>
      <c r="B34" s="59">
        <v>27.0</v>
      </c>
      <c r="C34" s="59" t="s">
        <v>26</v>
      </c>
      <c r="D34" s="60">
        <v>46191.0</v>
      </c>
      <c r="E34" s="61" t="s">
        <v>40</v>
      </c>
      <c r="F34" s="77"/>
      <c r="G34" s="77"/>
      <c r="H34" s="63" t="s">
        <v>28</v>
      </c>
      <c r="I34" s="33"/>
      <c r="J34" s="33"/>
      <c r="K34" s="52"/>
      <c r="L34" s="64"/>
      <c r="M34" s="65" t="s">
        <v>40</v>
      </c>
      <c r="N34" s="77"/>
      <c r="O34" s="77"/>
      <c r="P34" s="66" t="s">
        <v>28</v>
      </c>
      <c r="Q34" s="54"/>
      <c r="R34" s="54"/>
      <c r="S34" s="67"/>
      <c r="T34" s="78"/>
      <c r="U34" s="70"/>
      <c r="V34" s="64"/>
      <c r="W34" s="65" t="s">
        <v>40</v>
      </c>
      <c r="X34" s="62">
        <v>2.0</v>
      </c>
      <c r="Y34" s="62">
        <v>1.0</v>
      </c>
      <c r="Z34" s="66" t="s">
        <v>28</v>
      </c>
      <c r="AA34" s="54"/>
      <c r="AB34" s="54"/>
      <c r="AC34" s="67"/>
      <c r="AD34" s="78"/>
      <c r="AE34" s="70"/>
      <c r="AF34" s="64"/>
      <c r="AG34" s="65" t="s">
        <v>40</v>
      </c>
      <c r="AH34" s="77"/>
      <c r="AI34" s="77"/>
      <c r="AJ34" s="66" t="s">
        <v>28</v>
      </c>
      <c r="AK34" s="54"/>
      <c r="AL34" s="54"/>
      <c r="AM34" s="67"/>
      <c r="AN34" s="78"/>
      <c r="AO34" s="70"/>
      <c r="AP34" s="64"/>
      <c r="AQ34" s="65" t="s">
        <v>40</v>
      </c>
      <c r="AR34" s="77"/>
      <c r="AS34" s="77"/>
      <c r="AT34" s="66" t="s">
        <v>28</v>
      </c>
      <c r="AU34" s="54"/>
      <c r="AV34" s="54"/>
      <c r="AW34" s="67"/>
      <c r="AX34" s="78"/>
      <c r="AY34" s="70"/>
      <c r="AZ34" s="64"/>
      <c r="BA34" s="65" t="s">
        <v>40</v>
      </c>
      <c r="BB34" s="77"/>
      <c r="BC34" s="77"/>
      <c r="BD34" s="66" t="s">
        <v>28</v>
      </c>
      <c r="BE34" s="54"/>
      <c r="BF34" s="54"/>
      <c r="BG34" s="67"/>
      <c r="BH34" s="78"/>
      <c r="BI34" s="70"/>
      <c r="BJ34" s="64"/>
      <c r="BK34" s="65" t="s">
        <v>40</v>
      </c>
      <c r="BL34" s="62">
        <v>1.0</v>
      </c>
      <c r="BM34" s="62">
        <v>0.0</v>
      </c>
      <c r="BN34" s="66" t="s">
        <v>28</v>
      </c>
      <c r="BO34" s="54"/>
      <c r="BP34" s="54"/>
      <c r="BQ34" s="67"/>
      <c r="BR34" s="78"/>
      <c r="BS34" s="70"/>
      <c r="BT34" s="64"/>
      <c r="BU34" s="65" t="s">
        <v>40</v>
      </c>
      <c r="BV34" s="62"/>
      <c r="BW34" s="62"/>
      <c r="BX34" s="66" t="s">
        <v>28</v>
      </c>
      <c r="BY34" s="54"/>
      <c r="BZ34" s="54"/>
      <c r="CA34" s="67"/>
      <c r="CB34" s="78"/>
      <c r="CC34" s="70"/>
      <c r="CD34" s="64"/>
      <c r="CE34" s="65" t="s">
        <v>40</v>
      </c>
      <c r="CF34" s="62">
        <v>2.0</v>
      </c>
      <c r="CG34" s="62">
        <v>2.0</v>
      </c>
      <c r="CH34" s="66" t="s">
        <v>28</v>
      </c>
      <c r="CI34" s="54"/>
      <c r="CJ34" s="54"/>
      <c r="CK34" s="67"/>
      <c r="CL34" s="78"/>
      <c r="CM34" s="70"/>
      <c r="CN34" s="72"/>
      <c r="CO34" s="73" t="s">
        <v>40</v>
      </c>
      <c r="CP34" s="74"/>
      <c r="CQ34" s="74"/>
      <c r="CR34" s="21" t="s">
        <v>28</v>
      </c>
      <c r="CS34" s="21"/>
      <c r="CT34" s="21"/>
      <c r="CU34" s="21"/>
      <c r="CV34" s="75"/>
      <c r="CW34" s="76"/>
    </row>
    <row r="35">
      <c r="A35" s="50"/>
      <c r="B35" s="59">
        <v>28.0</v>
      </c>
      <c r="C35" s="59" t="s">
        <v>26</v>
      </c>
      <c r="D35" s="60">
        <v>46191.0</v>
      </c>
      <c r="E35" s="61" t="s">
        <v>27</v>
      </c>
      <c r="F35" s="77"/>
      <c r="G35" s="77"/>
      <c r="H35" s="63" t="s">
        <v>39</v>
      </c>
      <c r="I35" s="33"/>
      <c r="J35" s="33"/>
      <c r="K35" s="52"/>
      <c r="L35" s="64"/>
      <c r="M35" s="65" t="s">
        <v>27</v>
      </c>
      <c r="N35" s="77"/>
      <c r="O35" s="77"/>
      <c r="P35" s="66" t="s">
        <v>39</v>
      </c>
      <c r="Q35" s="54"/>
      <c r="R35" s="54"/>
      <c r="S35" s="67"/>
      <c r="T35" s="78"/>
      <c r="U35" s="70"/>
      <c r="V35" s="64"/>
      <c r="W35" s="65" t="s">
        <v>27</v>
      </c>
      <c r="X35" s="62">
        <v>2.0</v>
      </c>
      <c r="Y35" s="62">
        <v>0.0</v>
      </c>
      <c r="Z35" s="66" t="s">
        <v>39</v>
      </c>
      <c r="AA35" s="54"/>
      <c r="AB35" s="54"/>
      <c r="AC35" s="67"/>
      <c r="AD35" s="78"/>
      <c r="AE35" s="70"/>
      <c r="AF35" s="64"/>
      <c r="AG35" s="65" t="s">
        <v>27</v>
      </c>
      <c r="AH35" s="77"/>
      <c r="AI35" s="77"/>
      <c r="AJ35" s="66" t="s">
        <v>39</v>
      </c>
      <c r="AK35" s="54"/>
      <c r="AL35" s="54"/>
      <c r="AM35" s="67"/>
      <c r="AN35" s="78"/>
      <c r="AO35" s="70"/>
      <c r="AP35" s="64"/>
      <c r="AQ35" s="65" t="s">
        <v>27</v>
      </c>
      <c r="AR35" s="77"/>
      <c r="AS35" s="77"/>
      <c r="AT35" s="66" t="s">
        <v>39</v>
      </c>
      <c r="AU35" s="54"/>
      <c r="AV35" s="54"/>
      <c r="AW35" s="67"/>
      <c r="AX35" s="78"/>
      <c r="AY35" s="70"/>
      <c r="AZ35" s="64"/>
      <c r="BA35" s="65" t="s">
        <v>27</v>
      </c>
      <c r="BB35" s="77"/>
      <c r="BC35" s="77"/>
      <c r="BD35" s="66" t="s">
        <v>39</v>
      </c>
      <c r="BE35" s="54"/>
      <c r="BF35" s="54"/>
      <c r="BG35" s="67"/>
      <c r="BH35" s="78"/>
      <c r="BI35" s="70"/>
      <c r="BJ35" s="64"/>
      <c r="BK35" s="65" t="s">
        <v>27</v>
      </c>
      <c r="BL35" s="62">
        <v>0.0</v>
      </c>
      <c r="BM35" s="62">
        <v>1.0</v>
      </c>
      <c r="BN35" s="66" t="s">
        <v>39</v>
      </c>
      <c r="BO35" s="54"/>
      <c r="BP35" s="54"/>
      <c r="BQ35" s="67"/>
      <c r="BR35" s="78"/>
      <c r="BS35" s="70"/>
      <c r="BT35" s="64"/>
      <c r="BU35" s="65" t="s">
        <v>27</v>
      </c>
      <c r="BV35" s="62"/>
      <c r="BW35" s="62"/>
      <c r="BX35" s="66" t="s">
        <v>39</v>
      </c>
      <c r="BY35" s="54"/>
      <c r="BZ35" s="54"/>
      <c r="CA35" s="67"/>
      <c r="CB35" s="78"/>
      <c r="CC35" s="70"/>
      <c r="CD35" s="64"/>
      <c r="CE35" s="65" t="s">
        <v>27</v>
      </c>
      <c r="CF35" s="62">
        <v>0.0</v>
      </c>
      <c r="CG35" s="62">
        <v>1.0</v>
      </c>
      <c r="CH35" s="66" t="s">
        <v>39</v>
      </c>
      <c r="CI35" s="54"/>
      <c r="CJ35" s="54"/>
      <c r="CK35" s="67"/>
      <c r="CL35" s="78"/>
      <c r="CM35" s="70"/>
      <c r="CN35" s="72"/>
      <c r="CO35" s="73" t="s">
        <v>27</v>
      </c>
      <c r="CP35" s="74"/>
      <c r="CQ35" s="74"/>
      <c r="CR35" s="21" t="s">
        <v>39</v>
      </c>
      <c r="CS35" s="21"/>
      <c r="CT35" s="21"/>
      <c r="CU35" s="21"/>
      <c r="CV35" s="75"/>
      <c r="CW35" s="76"/>
    </row>
    <row r="36">
      <c r="A36" s="50"/>
      <c r="B36" s="59">
        <v>29.0</v>
      </c>
      <c r="C36" s="59" t="s">
        <v>32</v>
      </c>
      <c r="D36" s="60">
        <v>46192.0</v>
      </c>
      <c r="E36" s="61" t="s">
        <v>37</v>
      </c>
      <c r="F36" s="77"/>
      <c r="G36" s="77"/>
      <c r="H36" s="63" t="s">
        <v>33</v>
      </c>
      <c r="I36" s="33"/>
      <c r="J36" s="33"/>
      <c r="K36" s="52"/>
      <c r="L36" s="64"/>
      <c r="M36" s="65" t="s">
        <v>37</v>
      </c>
      <c r="N36" s="77"/>
      <c r="O36" s="77"/>
      <c r="P36" s="66" t="s">
        <v>33</v>
      </c>
      <c r="Q36" s="54"/>
      <c r="R36" s="54"/>
      <c r="S36" s="67"/>
      <c r="T36" s="78"/>
      <c r="U36" s="70"/>
      <c r="V36" s="64"/>
      <c r="W36" s="65" t="s">
        <v>37</v>
      </c>
      <c r="X36" s="62">
        <v>3.0</v>
      </c>
      <c r="Y36" s="62">
        <v>0.0</v>
      </c>
      <c r="Z36" s="66" t="s">
        <v>33</v>
      </c>
      <c r="AA36" s="54"/>
      <c r="AB36" s="54"/>
      <c r="AC36" s="67"/>
      <c r="AD36" s="78"/>
      <c r="AE36" s="70"/>
      <c r="AF36" s="64"/>
      <c r="AG36" s="65" t="s">
        <v>37</v>
      </c>
      <c r="AH36" s="77"/>
      <c r="AI36" s="77"/>
      <c r="AJ36" s="66" t="s">
        <v>33</v>
      </c>
      <c r="AK36" s="54"/>
      <c r="AL36" s="54"/>
      <c r="AM36" s="67"/>
      <c r="AN36" s="78"/>
      <c r="AO36" s="70"/>
      <c r="AP36" s="64"/>
      <c r="AQ36" s="65" t="s">
        <v>37</v>
      </c>
      <c r="AR36" s="77"/>
      <c r="AS36" s="77"/>
      <c r="AT36" s="66" t="s">
        <v>33</v>
      </c>
      <c r="AU36" s="54"/>
      <c r="AV36" s="54"/>
      <c r="AW36" s="67"/>
      <c r="AX36" s="78"/>
      <c r="AY36" s="70"/>
      <c r="AZ36" s="64"/>
      <c r="BA36" s="65" t="s">
        <v>37</v>
      </c>
      <c r="BB36" s="77"/>
      <c r="BC36" s="77"/>
      <c r="BD36" s="66" t="s">
        <v>33</v>
      </c>
      <c r="BE36" s="54"/>
      <c r="BF36" s="54"/>
      <c r="BG36" s="67"/>
      <c r="BH36" s="78"/>
      <c r="BI36" s="70"/>
      <c r="BJ36" s="64"/>
      <c r="BK36" s="65" t="s">
        <v>37</v>
      </c>
      <c r="BL36" s="62">
        <v>1.0</v>
      </c>
      <c r="BM36" s="62">
        <v>0.0</v>
      </c>
      <c r="BN36" s="66" t="s">
        <v>33</v>
      </c>
      <c r="BO36" s="54"/>
      <c r="BP36" s="54"/>
      <c r="BQ36" s="67"/>
      <c r="BR36" s="78"/>
      <c r="BS36" s="70"/>
      <c r="BT36" s="64"/>
      <c r="BU36" s="65" t="s">
        <v>37</v>
      </c>
      <c r="BV36" s="62"/>
      <c r="BW36" s="62"/>
      <c r="BX36" s="66" t="s">
        <v>33</v>
      </c>
      <c r="BY36" s="54"/>
      <c r="BZ36" s="54"/>
      <c r="CA36" s="67"/>
      <c r="CB36" s="78"/>
      <c r="CC36" s="70"/>
      <c r="CD36" s="64"/>
      <c r="CE36" s="65" t="s">
        <v>37</v>
      </c>
      <c r="CF36" s="62">
        <v>2.0</v>
      </c>
      <c r="CG36" s="62">
        <v>0.0</v>
      </c>
      <c r="CH36" s="66" t="s">
        <v>33</v>
      </c>
      <c r="CI36" s="54"/>
      <c r="CJ36" s="54"/>
      <c r="CK36" s="67"/>
      <c r="CL36" s="78"/>
      <c r="CM36" s="70"/>
      <c r="CN36" s="72"/>
      <c r="CO36" s="73" t="s">
        <v>37</v>
      </c>
      <c r="CP36" s="74"/>
      <c r="CQ36" s="74"/>
      <c r="CR36" s="21" t="s">
        <v>33</v>
      </c>
      <c r="CS36" s="21"/>
      <c r="CT36" s="21"/>
      <c r="CU36" s="21"/>
      <c r="CV36" s="75"/>
      <c r="CW36" s="76"/>
    </row>
    <row r="37">
      <c r="A37" s="50"/>
      <c r="B37" s="59">
        <v>30.0</v>
      </c>
      <c r="C37" s="59" t="s">
        <v>32</v>
      </c>
      <c r="D37" s="60">
        <v>46192.0</v>
      </c>
      <c r="E37" s="61" t="s">
        <v>34</v>
      </c>
      <c r="F37" s="77"/>
      <c r="G37" s="77"/>
      <c r="H37" s="63" t="s">
        <v>38</v>
      </c>
      <c r="I37" s="33"/>
      <c r="J37" s="33"/>
      <c r="K37" s="52"/>
      <c r="L37" s="64"/>
      <c r="M37" s="65" t="s">
        <v>34</v>
      </c>
      <c r="N37" s="77"/>
      <c r="O37" s="77"/>
      <c r="P37" s="66" t="s">
        <v>38</v>
      </c>
      <c r="Q37" s="54"/>
      <c r="R37" s="54"/>
      <c r="S37" s="67"/>
      <c r="T37" s="78"/>
      <c r="U37" s="70"/>
      <c r="V37" s="64"/>
      <c r="W37" s="65" t="s">
        <v>34</v>
      </c>
      <c r="X37" s="62">
        <v>1.0</v>
      </c>
      <c r="Y37" s="62">
        <v>2.0</v>
      </c>
      <c r="Z37" s="66" t="s">
        <v>38</v>
      </c>
      <c r="AA37" s="54"/>
      <c r="AB37" s="54"/>
      <c r="AC37" s="67"/>
      <c r="AD37" s="78"/>
      <c r="AE37" s="70"/>
      <c r="AF37" s="64"/>
      <c r="AG37" s="65" t="s">
        <v>34</v>
      </c>
      <c r="AH37" s="77"/>
      <c r="AI37" s="77"/>
      <c r="AJ37" s="66" t="s">
        <v>38</v>
      </c>
      <c r="AK37" s="54"/>
      <c r="AL37" s="54"/>
      <c r="AM37" s="67"/>
      <c r="AN37" s="78"/>
      <c r="AO37" s="70"/>
      <c r="AP37" s="64"/>
      <c r="AQ37" s="65" t="s">
        <v>34</v>
      </c>
      <c r="AR37" s="77"/>
      <c r="AS37" s="77"/>
      <c r="AT37" s="66" t="s">
        <v>38</v>
      </c>
      <c r="AU37" s="54"/>
      <c r="AV37" s="54"/>
      <c r="AW37" s="67"/>
      <c r="AX37" s="78"/>
      <c r="AY37" s="70"/>
      <c r="AZ37" s="64"/>
      <c r="BA37" s="65" t="s">
        <v>34</v>
      </c>
      <c r="BB37" s="77"/>
      <c r="BC37" s="77"/>
      <c r="BD37" s="66" t="s">
        <v>38</v>
      </c>
      <c r="BE37" s="54"/>
      <c r="BF37" s="54"/>
      <c r="BG37" s="67"/>
      <c r="BH37" s="78"/>
      <c r="BI37" s="70"/>
      <c r="BJ37" s="64"/>
      <c r="BK37" s="65" t="s">
        <v>34</v>
      </c>
      <c r="BL37" s="62">
        <v>2.0</v>
      </c>
      <c r="BM37" s="62">
        <v>0.0</v>
      </c>
      <c r="BN37" s="66" t="s">
        <v>38</v>
      </c>
      <c r="BO37" s="54"/>
      <c r="BP37" s="54"/>
      <c r="BQ37" s="67"/>
      <c r="BR37" s="78"/>
      <c r="BS37" s="70"/>
      <c r="BT37" s="64"/>
      <c r="BU37" s="65" t="s">
        <v>34</v>
      </c>
      <c r="BV37" s="62"/>
      <c r="BW37" s="62"/>
      <c r="BX37" s="66" t="s">
        <v>38</v>
      </c>
      <c r="BY37" s="54"/>
      <c r="BZ37" s="54"/>
      <c r="CA37" s="67"/>
      <c r="CB37" s="78"/>
      <c r="CC37" s="70"/>
      <c r="CD37" s="64"/>
      <c r="CE37" s="65" t="s">
        <v>34</v>
      </c>
      <c r="CF37" s="62">
        <v>2.0</v>
      </c>
      <c r="CG37" s="62">
        <v>0.0</v>
      </c>
      <c r="CH37" s="66" t="s">
        <v>38</v>
      </c>
      <c r="CI37" s="54"/>
      <c r="CJ37" s="54"/>
      <c r="CK37" s="67"/>
      <c r="CL37" s="78"/>
      <c r="CM37" s="70"/>
      <c r="CN37" s="72"/>
      <c r="CO37" s="73" t="s">
        <v>34</v>
      </c>
      <c r="CP37" s="74"/>
      <c r="CQ37" s="74"/>
      <c r="CR37" s="21" t="s">
        <v>38</v>
      </c>
      <c r="CS37" s="21"/>
      <c r="CT37" s="21"/>
      <c r="CU37" s="21"/>
      <c r="CV37" s="75"/>
      <c r="CW37" s="76"/>
    </row>
    <row r="38">
      <c r="A38" s="50"/>
      <c r="B38" s="59">
        <v>31.0</v>
      </c>
      <c r="C38" s="59" t="s">
        <v>29</v>
      </c>
      <c r="D38" s="60">
        <v>46192.0</v>
      </c>
      <c r="E38" s="61" t="s">
        <v>36</v>
      </c>
      <c r="F38" s="77"/>
      <c r="G38" s="77"/>
      <c r="H38" s="63" t="s">
        <v>31</v>
      </c>
      <c r="I38" s="33"/>
      <c r="J38" s="33"/>
      <c r="K38" s="52"/>
      <c r="L38" s="64"/>
      <c r="M38" s="65" t="s">
        <v>36</v>
      </c>
      <c r="N38" s="77"/>
      <c r="O38" s="77"/>
      <c r="P38" s="66" t="s">
        <v>31</v>
      </c>
      <c r="Q38" s="54"/>
      <c r="R38" s="54"/>
      <c r="S38" s="67"/>
      <c r="T38" s="78"/>
      <c r="U38" s="70"/>
      <c r="V38" s="64"/>
      <c r="W38" s="65" t="s">
        <v>36</v>
      </c>
      <c r="X38" s="62">
        <v>2.0</v>
      </c>
      <c r="Y38" s="62">
        <v>0.0</v>
      </c>
      <c r="Z38" s="66" t="s">
        <v>31</v>
      </c>
      <c r="AA38" s="54"/>
      <c r="AB38" s="54"/>
      <c r="AC38" s="67"/>
      <c r="AD38" s="78"/>
      <c r="AE38" s="70"/>
      <c r="AF38" s="64"/>
      <c r="AG38" s="65" t="s">
        <v>36</v>
      </c>
      <c r="AH38" s="77"/>
      <c r="AI38" s="77"/>
      <c r="AJ38" s="66" t="s">
        <v>31</v>
      </c>
      <c r="AK38" s="54"/>
      <c r="AL38" s="54"/>
      <c r="AM38" s="67"/>
      <c r="AN38" s="78"/>
      <c r="AO38" s="70"/>
      <c r="AP38" s="64"/>
      <c r="AQ38" s="65" t="s">
        <v>36</v>
      </c>
      <c r="AR38" s="77"/>
      <c r="AS38" s="77"/>
      <c r="AT38" s="66" t="s">
        <v>31</v>
      </c>
      <c r="AU38" s="54"/>
      <c r="AV38" s="54"/>
      <c r="AW38" s="67"/>
      <c r="AX38" s="78"/>
      <c r="AY38" s="70"/>
      <c r="AZ38" s="64"/>
      <c r="BA38" s="65" t="s">
        <v>36</v>
      </c>
      <c r="BB38" s="77"/>
      <c r="BC38" s="77"/>
      <c r="BD38" s="66" t="s">
        <v>31</v>
      </c>
      <c r="BE38" s="54"/>
      <c r="BF38" s="54"/>
      <c r="BG38" s="67"/>
      <c r="BH38" s="78"/>
      <c r="BI38" s="70"/>
      <c r="BJ38" s="64"/>
      <c r="BK38" s="65" t="s">
        <v>36</v>
      </c>
      <c r="BL38" s="62">
        <v>1.0</v>
      </c>
      <c r="BM38" s="62">
        <v>0.0</v>
      </c>
      <c r="BN38" s="66" t="s">
        <v>31</v>
      </c>
      <c r="BO38" s="54"/>
      <c r="BP38" s="54"/>
      <c r="BQ38" s="67"/>
      <c r="BR38" s="78"/>
      <c r="BS38" s="70"/>
      <c r="BT38" s="64"/>
      <c r="BU38" s="65" t="s">
        <v>36</v>
      </c>
      <c r="BV38" s="62"/>
      <c r="BW38" s="62"/>
      <c r="BX38" s="66" t="s">
        <v>31</v>
      </c>
      <c r="BY38" s="54"/>
      <c r="BZ38" s="54"/>
      <c r="CA38" s="67"/>
      <c r="CB38" s="78"/>
      <c r="CC38" s="70"/>
      <c r="CD38" s="64"/>
      <c r="CE38" s="65" t="s">
        <v>36</v>
      </c>
      <c r="CF38" s="62">
        <v>1.0</v>
      </c>
      <c r="CG38" s="62">
        <v>1.0</v>
      </c>
      <c r="CH38" s="66" t="s">
        <v>31</v>
      </c>
      <c r="CI38" s="54"/>
      <c r="CJ38" s="54"/>
      <c r="CK38" s="67"/>
      <c r="CL38" s="78"/>
      <c r="CM38" s="70"/>
      <c r="CN38" s="72"/>
      <c r="CO38" s="73" t="s">
        <v>36</v>
      </c>
      <c r="CP38" s="74"/>
      <c r="CQ38" s="74"/>
      <c r="CR38" s="21" t="s">
        <v>31</v>
      </c>
      <c r="CS38" s="21"/>
      <c r="CT38" s="21"/>
      <c r="CU38" s="21"/>
      <c r="CV38" s="75"/>
      <c r="CW38" s="76"/>
    </row>
    <row r="39">
      <c r="A39" s="50"/>
      <c r="B39" s="59">
        <v>32.0</v>
      </c>
      <c r="C39" s="59" t="s">
        <v>29</v>
      </c>
      <c r="D39" s="60">
        <v>46192.0</v>
      </c>
      <c r="E39" s="61" t="s">
        <v>30</v>
      </c>
      <c r="F39" s="77"/>
      <c r="G39" s="77"/>
      <c r="H39" s="63" t="s">
        <v>35</v>
      </c>
      <c r="I39" s="33"/>
      <c r="J39" s="33"/>
      <c r="K39" s="52"/>
      <c r="L39" s="64"/>
      <c r="M39" s="65" t="s">
        <v>30</v>
      </c>
      <c r="N39" s="77"/>
      <c r="O39" s="77"/>
      <c r="P39" s="66" t="s">
        <v>35</v>
      </c>
      <c r="Q39" s="54"/>
      <c r="R39" s="54"/>
      <c r="S39" s="67"/>
      <c r="T39" s="78"/>
      <c r="U39" s="70"/>
      <c r="V39" s="64"/>
      <c r="W39" s="65" t="s">
        <v>30</v>
      </c>
      <c r="X39" s="62">
        <v>3.0</v>
      </c>
      <c r="Y39" s="62">
        <v>0.0</v>
      </c>
      <c r="Z39" s="66" t="s">
        <v>35</v>
      </c>
      <c r="AA39" s="54"/>
      <c r="AB39" s="54"/>
      <c r="AC39" s="67"/>
      <c r="AD39" s="78"/>
      <c r="AE39" s="70"/>
      <c r="AF39" s="64"/>
      <c r="AG39" s="65" t="s">
        <v>30</v>
      </c>
      <c r="AH39" s="77"/>
      <c r="AI39" s="77"/>
      <c r="AJ39" s="66" t="s">
        <v>35</v>
      </c>
      <c r="AK39" s="54"/>
      <c r="AL39" s="54"/>
      <c r="AM39" s="67"/>
      <c r="AN39" s="78"/>
      <c r="AO39" s="70"/>
      <c r="AP39" s="64"/>
      <c r="AQ39" s="65" t="s">
        <v>30</v>
      </c>
      <c r="AR39" s="77"/>
      <c r="AS39" s="77"/>
      <c r="AT39" s="66" t="s">
        <v>35</v>
      </c>
      <c r="AU39" s="54"/>
      <c r="AV39" s="54"/>
      <c r="AW39" s="67"/>
      <c r="AX39" s="78"/>
      <c r="AY39" s="70"/>
      <c r="AZ39" s="64"/>
      <c r="BA39" s="65" t="s">
        <v>30</v>
      </c>
      <c r="BB39" s="77"/>
      <c r="BC39" s="77"/>
      <c r="BD39" s="66" t="s">
        <v>35</v>
      </c>
      <c r="BE39" s="54"/>
      <c r="BF39" s="54"/>
      <c r="BG39" s="67"/>
      <c r="BH39" s="78"/>
      <c r="BI39" s="70"/>
      <c r="BJ39" s="64"/>
      <c r="BK39" s="65" t="s">
        <v>30</v>
      </c>
      <c r="BL39" s="62">
        <v>0.0</v>
      </c>
      <c r="BM39" s="62">
        <v>1.0</v>
      </c>
      <c r="BN39" s="66" t="s">
        <v>35</v>
      </c>
      <c r="BO39" s="54"/>
      <c r="BP39" s="54"/>
      <c r="BQ39" s="67"/>
      <c r="BR39" s="78"/>
      <c r="BS39" s="70"/>
      <c r="BT39" s="64"/>
      <c r="BU39" s="65" t="s">
        <v>30</v>
      </c>
      <c r="BV39" s="62"/>
      <c r="BW39" s="62"/>
      <c r="BX39" s="66" t="s">
        <v>35</v>
      </c>
      <c r="BY39" s="54"/>
      <c r="BZ39" s="54"/>
      <c r="CA39" s="67"/>
      <c r="CB39" s="78"/>
      <c r="CC39" s="70"/>
      <c r="CD39" s="64"/>
      <c r="CE39" s="65" t="s">
        <v>30</v>
      </c>
      <c r="CF39" s="62">
        <v>0.0</v>
      </c>
      <c r="CG39" s="62">
        <v>2.0</v>
      </c>
      <c r="CH39" s="66" t="s">
        <v>35</v>
      </c>
      <c r="CI39" s="54"/>
      <c r="CJ39" s="54"/>
      <c r="CK39" s="67"/>
      <c r="CL39" s="78"/>
      <c r="CM39" s="70"/>
      <c r="CN39" s="72"/>
      <c r="CO39" s="73" t="s">
        <v>30</v>
      </c>
      <c r="CP39" s="74"/>
      <c r="CQ39" s="74"/>
      <c r="CR39" s="21" t="s">
        <v>35</v>
      </c>
      <c r="CS39" s="21"/>
      <c r="CT39" s="21"/>
      <c r="CU39" s="21"/>
      <c r="CV39" s="75"/>
      <c r="CW39" s="76"/>
    </row>
    <row r="40">
      <c r="A40" s="50"/>
      <c r="B40" s="59">
        <v>33.0</v>
      </c>
      <c r="C40" s="59" t="s">
        <v>41</v>
      </c>
      <c r="D40" s="60">
        <v>46193.0</v>
      </c>
      <c r="E40" s="61" t="s">
        <v>44</v>
      </c>
      <c r="F40" s="77"/>
      <c r="G40" s="77"/>
      <c r="H40" s="63" t="s">
        <v>42</v>
      </c>
      <c r="I40" s="33"/>
      <c r="J40" s="33"/>
      <c r="K40" s="52"/>
      <c r="L40" s="64"/>
      <c r="M40" s="65" t="s">
        <v>44</v>
      </c>
      <c r="N40" s="77"/>
      <c r="O40" s="77"/>
      <c r="P40" s="66" t="s">
        <v>42</v>
      </c>
      <c r="Q40" s="54"/>
      <c r="R40" s="54"/>
      <c r="S40" s="67"/>
      <c r="T40" s="78"/>
      <c r="U40" s="70"/>
      <c r="V40" s="64"/>
      <c r="W40" s="65" t="s">
        <v>44</v>
      </c>
      <c r="X40" s="62">
        <v>3.0</v>
      </c>
      <c r="Y40" s="62">
        <v>1.0</v>
      </c>
      <c r="Z40" s="66" t="s">
        <v>42</v>
      </c>
      <c r="AA40" s="54"/>
      <c r="AB40" s="54"/>
      <c r="AC40" s="67"/>
      <c r="AD40" s="78"/>
      <c r="AE40" s="70"/>
      <c r="AF40" s="64"/>
      <c r="AG40" s="65" t="s">
        <v>44</v>
      </c>
      <c r="AH40" s="77"/>
      <c r="AI40" s="77"/>
      <c r="AJ40" s="66" t="s">
        <v>42</v>
      </c>
      <c r="AK40" s="54"/>
      <c r="AL40" s="54"/>
      <c r="AM40" s="67"/>
      <c r="AN40" s="78"/>
      <c r="AO40" s="70"/>
      <c r="AP40" s="64"/>
      <c r="AQ40" s="65" t="s">
        <v>44</v>
      </c>
      <c r="AR40" s="77"/>
      <c r="AS40" s="77"/>
      <c r="AT40" s="66" t="s">
        <v>42</v>
      </c>
      <c r="AU40" s="54"/>
      <c r="AV40" s="54"/>
      <c r="AW40" s="67"/>
      <c r="AX40" s="78"/>
      <c r="AY40" s="70"/>
      <c r="AZ40" s="64"/>
      <c r="BA40" s="65" t="s">
        <v>44</v>
      </c>
      <c r="BB40" s="77"/>
      <c r="BC40" s="77"/>
      <c r="BD40" s="66" t="s">
        <v>42</v>
      </c>
      <c r="BE40" s="54"/>
      <c r="BF40" s="54"/>
      <c r="BG40" s="67"/>
      <c r="BH40" s="78"/>
      <c r="BI40" s="70"/>
      <c r="BJ40" s="64"/>
      <c r="BK40" s="65" t="s">
        <v>44</v>
      </c>
      <c r="BL40" s="62">
        <v>2.0</v>
      </c>
      <c r="BM40" s="62">
        <v>0.0</v>
      </c>
      <c r="BN40" s="66" t="s">
        <v>42</v>
      </c>
      <c r="BO40" s="54"/>
      <c r="BP40" s="54"/>
      <c r="BQ40" s="67"/>
      <c r="BR40" s="78"/>
      <c r="BS40" s="70"/>
      <c r="BT40" s="64"/>
      <c r="BU40" s="65" t="s">
        <v>44</v>
      </c>
      <c r="BV40" s="62"/>
      <c r="BW40" s="62"/>
      <c r="BX40" s="66" t="s">
        <v>42</v>
      </c>
      <c r="BY40" s="54"/>
      <c r="BZ40" s="54"/>
      <c r="CA40" s="67"/>
      <c r="CB40" s="78"/>
      <c r="CC40" s="70"/>
      <c r="CD40" s="64"/>
      <c r="CE40" s="65" t="s">
        <v>44</v>
      </c>
      <c r="CF40" s="62">
        <v>2.0</v>
      </c>
      <c r="CG40" s="62">
        <v>0.0</v>
      </c>
      <c r="CH40" s="66" t="s">
        <v>42</v>
      </c>
      <c r="CI40" s="54"/>
      <c r="CJ40" s="54"/>
      <c r="CK40" s="67"/>
      <c r="CL40" s="78"/>
      <c r="CM40" s="70"/>
      <c r="CN40" s="72"/>
      <c r="CO40" s="73" t="s">
        <v>44</v>
      </c>
      <c r="CP40" s="74"/>
      <c r="CQ40" s="74"/>
      <c r="CR40" s="21" t="s">
        <v>42</v>
      </c>
      <c r="CS40" s="21"/>
      <c r="CT40" s="21"/>
      <c r="CU40" s="21"/>
      <c r="CV40" s="75"/>
      <c r="CW40" s="76"/>
    </row>
    <row r="41">
      <c r="A41" s="50"/>
      <c r="B41" s="59">
        <v>34.0</v>
      </c>
      <c r="C41" s="59" t="s">
        <v>41</v>
      </c>
      <c r="D41" s="60">
        <v>46193.0</v>
      </c>
      <c r="E41" s="61" t="s">
        <v>43</v>
      </c>
      <c r="F41" s="77"/>
      <c r="G41" s="77"/>
      <c r="H41" s="63" t="s">
        <v>45</v>
      </c>
      <c r="I41" s="33"/>
      <c r="J41" s="33"/>
      <c r="K41" s="52"/>
      <c r="L41" s="64"/>
      <c r="M41" s="65" t="s">
        <v>43</v>
      </c>
      <c r="N41" s="77"/>
      <c r="O41" s="77"/>
      <c r="P41" s="66" t="s">
        <v>45</v>
      </c>
      <c r="Q41" s="54"/>
      <c r="R41" s="54"/>
      <c r="S41" s="67"/>
      <c r="T41" s="78"/>
      <c r="U41" s="70"/>
      <c r="V41" s="64"/>
      <c r="W41" s="65" t="s">
        <v>43</v>
      </c>
      <c r="X41" s="62">
        <v>3.0</v>
      </c>
      <c r="Y41" s="62">
        <v>0.0</v>
      </c>
      <c r="Z41" s="66" t="s">
        <v>45</v>
      </c>
      <c r="AA41" s="54"/>
      <c r="AB41" s="54"/>
      <c r="AC41" s="67"/>
      <c r="AD41" s="78"/>
      <c r="AE41" s="70"/>
      <c r="AF41" s="64"/>
      <c r="AG41" s="65" t="s">
        <v>43</v>
      </c>
      <c r="AH41" s="77"/>
      <c r="AI41" s="77"/>
      <c r="AJ41" s="66" t="s">
        <v>45</v>
      </c>
      <c r="AK41" s="54"/>
      <c r="AL41" s="54"/>
      <c r="AM41" s="67"/>
      <c r="AN41" s="78"/>
      <c r="AO41" s="70"/>
      <c r="AP41" s="64"/>
      <c r="AQ41" s="65" t="s">
        <v>43</v>
      </c>
      <c r="AR41" s="77"/>
      <c r="AS41" s="77"/>
      <c r="AT41" s="66" t="s">
        <v>45</v>
      </c>
      <c r="AU41" s="54"/>
      <c r="AV41" s="54"/>
      <c r="AW41" s="67"/>
      <c r="AX41" s="78"/>
      <c r="AY41" s="70"/>
      <c r="AZ41" s="64"/>
      <c r="BA41" s="65" t="s">
        <v>43</v>
      </c>
      <c r="BB41" s="77"/>
      <c r="BC41" s="77"/>
      <c r="BD41" s="66" t="s">
        <v>45</v>
      </c>
      <c r="BE41" s="54"/>
      <c r="BF41" s="54"/>
      <c r="BG41" s="67"/>
      <c r="BH41" s="78"/>
      <c r="BI41" s="70"/>
      <c r="BJ41" s="64"/>
      <c r="BK41" s="65" t="s">
        <v>43</v>
      </c>
      <c r="BL41" s="62">
        <v>0.0</v>
      </c>
      <c r="BM41" s="62">
        <v>1.0</v>
      </c>
      <c r="BN41" s="66" t="s">
        <v>45</v>
      </c>
      <c r="BO41" s="54"/>
      <c r="BP41" s="54"/>
      <c r="BQ41" s="67"/>
      <c r="BR41" s="78"/>
      <c r="BS41" s="70"/>
      <c r="BT41" s="64"/>
      <c r="BU41" s="65" t="s">
        <v>43</v>
      </c>
      <c r="BV41" s="62"/>
      <c r="BW41" s="62"/>
      <c r="BX41" s="66" t="s">
        <v>45</v>
      </c>
      <c r="BY41" s="54"/>
      <c r="BZ41" s="54"/>
      <c r="CA41" s="67"/>
      <c r="CB41" s="78"/>
      <c r="CC41" s="70"/>
      <c r="CD41" s="64"/>
      <c r="CE41" s="65" t="s">
        <v>43</v>
      </c>
      <c r="CF41" s="62">
        <v>1.0</v>
      </c>
      <c r="CG41" s="62">
        <v>0.0</v>
      </c>
      <c r="CH41" s="66" t="s">
        <v>45</v>
      </c>
      <c r="CI41" s="54"/>
      <c r="CJ41" s="54"/>
      <c r="CK41" s="67"/>
      <c r="CL41" s="78"/>
      <c r="CM41" s="70"/>
      <c r="CN41" s="72"/>
      <c r="CO41" s="73" t="s">
        <v>43</v>
      </c>
      <c r="CP41" s="74"/>
      <c r="CQ41" s="74"/>
      <c r="CR41" s="21" t="s">
        <v>45</v>
      </c>
      <c r="CS41" s="21"/>
      <c r="CT41" s="21"/>
      <c r="CU41" s="21"/>
      <c r="CV41" s="75"/>
      <c r="CW41" s="76"/>
    </row>
    <row r="42">
      <c r="A42" s="50"/>
      <c r="B42" s="59">
        <v>35.0</v>
      </c>
      <c r="C42" s="59" t="s">
        <v>46</v>
      </c>
      <c r="D42" s="60">
        <v>46193.0</v>
      </c>
      <c r="E42" s="61" t="s">
        <v>47</v>
      </c>
      <c r="F42" s="77"/>
      <c r="G42" s="77"/>
      <c r="H42" s="63" t="s">
        <v>49</v>
      </c>
      <c r="I42" s="33"/>
      <c r="J42" s="33"/>
      <c r="K42" s="52"/>
      <c r="L42" s="64"/>
      <c r="M42" s="65" t="s">
        <v>47</v>
      </c>
      <c r="N42" s="77"/>
      <c r="O42" s="77"/>
      <c r="P42" s="66" t="s">
        <v>49</v>
      </c>
      <c r="Q42" s="54"/>
      <c r="R42" s="54"/>
      <c r="S42" s="67"/>
      <c r="T42" s="78"/>
      <c r="U42" s="70"/>
      <c r="V42" s="64"/>
      <c r="W42" s="65" t="s">
        <v>47</v>
      </c>
      <c r="X42" s="62">
        <v>1.0</v>
      </c>
      <c r="Y42" s="62">
        <v>0.0</v>
      </c>
      <c r="Z42" s="66" t="s">
        <v>49</v>
      </c>
      <c r="AA42" s="54"/>
      <c r="AB42" s="54"/>
      <c r="AC42" s="67"/>
      <c r="AD42" s="78"/>
      <c r="AE42" s="70"/>
      <c r="AF42" s="64"/>
      <c r="AG42" s="65" t="s">
        <v>47</v>
      </c>
      <c r="AH42" s="77"/>
      <c r="AI42" s="77"/>
      <c r="AJ42" s="66" t="s">
        <v>49</v>
      </c>
      <c r="AK42" s="54"/>
      <c r="AL42" s="54"/>
      <c r="AM42" s="67"/>
      <c r="AN42" s="78"/>
      <c r="AO42" s="70"/>
      <c r="AP42" s="64"/>
      <c r="AQ42" s="65" t="s">
        <v>47</v>
      </c>
      <c r="AR42" s="77"/>
      <c r="AS42" s="77"/>
      <c r="AT42" s="66" t="s">
        <v>49</v>
      </c>
      <c r="AU42" s="54"/>
      <c r="AV42" s="54"/>
      <c r="AW42" s="67"/>
      <c r="AX42" s="78"/>
      <c r="AY42" s="70"/>
      <c r="AZ42" s="64"/>
      <c r="BA42" s="65" t="s">
        <v>47</v>
      </c>
      <c r="BB42" s="77"/>
      <c r="BC42" s="77"/>
      <c r="BD42" s="66" t="s">
        <v>49</v>
      </c>
      <c r="BE42" s="54"/>
      <c r="BF42" s="54"/>
      <c r="BG42" s="67"/>
      <c r="BH42" s="78"/>
      <c r="BI42" s="70"/>
      <c r="BJ42" s="64"/>
      <c r="BK42" s="65" t="s">
        <v>47</v>
      </c>
      <c r="BL42" s="62">
        <v>2.0</v>
      </c>
      <c r="BM42" s="62">
        <v>1.0</v>
      </c>
      <c r="BN42" s="66" t="s">
        <v>49</v>
      </c>
      <c r="BO42" s="54"/>
      <c r="BP42" s="54"/>
      <c r="BQ42" s="67"/>
      <c r="BR42" s="78"/>
      <c r="BS42" s="70"/>
      <c r="BT42" s="64"/>
      <c r="BU42" s="65" t="s">
        <v>47</v>
      </c>
      <c r="BV42" s="62"/>
      <c r="BW42" s="62"/>
      <c r="BX42" s="66" t="s">
        <v>49</v>
      </c>
      <c r="BY42" s="54"/>
      <c r="BZ42" s="54"/>
      <c r="CA42" s="67"/>
      <c r="CB42" s="78"/>
      <c r="CC42" s="70"/>
      <c r="CD42" s="64"/>
      <c r="CE42" s="65" t="s">
        <v>47</v>
      </c>
      <c r="CF42" s="62">
        <v>2.0</v>
      </c>
      <c r="CG42" s="62">
        <v>2.0</v>
      </c>
      <c r="CH42" s="66" t="s">
        <v>49</v>
      </c>
      <c r="CI42" s="54"/>
      <c r="CJ42" s="54"/>
      <c r="CK42" s="67"/>
      <c r="CL42" s="78"/>
      <c r="CM42" s="70"/>
      <c r="CN42" s="72"/>
      <c r="CO42" s="73" t="s">
        <v>47</v>
      </c>
      <c r="CP42" s="74"/>
      <c r="CQ42" s="74"/>
      <c r="CR42" s="21" t="s">
        <v>49</v>
      </c>
      <c r="CS42" s="21"/>
      <c r="CT42" s="21"/>
      <c r="CU42" s="21"/>
      <c r="CV42" s="75"/>
      <c r="CW42" s="76"/>
    </row>
    <row r="43">
      <c r="A43" s="50"/>
      <c r="B43" s="59">
        <v>36.0</v>
      </c>
      <c r="C43" s="59" t="s">
        <v>46</v>
      </c>
      <c r="D43" s="60">
        <v>46193.0</v>
      </c>
      <c r="E43" s="61" t="s">
        <v>50</v>
      </c>
      <c r="F43" s="77"/>
      <c r="G43" s="77"/>
      <c r="H43" s="63" t="s">
        <v>48</v>
      </c>
      <c r="I43" s="33"/>
      <c r="J43" s="33"/>
      <c r="K43" s="52"/>
      <c r="L43" s="64"/>
      <c r="M43" s="65" t="s">
        <v>50</v>
      </c>
      <c r="N43" s="77"/>
      <c r="O43" s="77"/>
      <c r="P43" s="66" t="s">
        <v>48</v>
      </c>
      <c r="Q43" s="54"/>
      <c r="R43" s="54"/>
      <c r="S43" s="67"/>
      <c r="T43" s="78"/>
      <c r="U43" s="70"/>
      <c r="V43" s="64"/>
      <c r="W43" s="65" t="s">
        <v>50</v>
      </c>
      <c r="X43" s="62">
        <v>0.0</v>
      </c>
      <c r="Y43" s="62">
        <v>2.0</v>
      </c>
      <c r="Z43" s="66" t="s">
        <v>48</v>
      </c>
      <c r="AA43" s="54"/>
      <c r="AB43" s="54"/>
      <c r="AC43" s="67"/>
      <c r="AD43" s="78"/>
      <c r="AE43" s="70"/>
      <c r="AF43" s="64"/>
      <c r="AG43" s="65" t="s">
        <v>50</v>
      </c>
      <c r="AH43" s="77"/>
      <c r="AI43" s="77"/>
      <c r="AJ43" s="66" t="s">
        <v>48</v>
      </c>
      <c r="AK43" s="54"/>
      <c r="AL43" s="54"/>
      <c r="AM43" s="67"/>
      <c r="AN43" s="78"/>
      <c r="AO43" s="70"/>
      <c r="AP43" s="64"/>
      <c r="AQ43" s="65" t="s">
        <v>50</v>
      </c>
      <c r="AR43" s="77"/>
      <c r="AS43" s="77"/>
      <c r="AT43" s="66" t="s">
        <v>48</v>
      </c>
      <c r="AU43" s="54"/>
      <c r="AV43" s="54"/>
      <c r="AW43" s="67"/>
      <c r="AX43" s="78"/>
      <c r="AY43" s="70"/>
      <c r="AZ43" s="64"/>
      <c r="BA43" s="65" t="s">
        <v>50</v>
      </c>
      <c r="BB43" s="77"/>
      <c r="BC43" s="77"/>
      <c r="BD43" s="66" t="s">
        <v>48</v>
      </c>
      <c r="BE43" s="54"/>
      <c r="BF43" s="54"/>
      <c r="BG43" s="67"/>
      <c r="BH43" s="78"/>
      <c r="BI43" s="70"/>
      <c r="BJ43" s="64"/>
      <c r="BK43" s="65" t="s">
        <v>50</v>
      </c>
      <c r="BL43" s="62">
        <v>0.0</v>
      </c>
      <c r="BM43" s="62">
        <v>2.0</v>
      </c>
      <c r="BN43" s="66" t="s">
        <v>48</v>
      </c>
      <c r="BO43" s="54"/>
      <c r="BP43" s="54"/>
      <c r="BQ43" s="67"/>
      <c r="BR43" s="78"/>
      <c r="BS43" s="70"/>
      <c r="BT43" s="64"/>
      <c r="BU43" s="65" t="s">
        <v>50</v>
      </c>
      <c r="BV43" s="62"/>
      <c r="BW43" s="62"/>
      <c r="BX43" s="66" t="s">
        <v>48</v>
      </c>
      <c r="BY43" s="54"/>
      <c r="BZ43" s="54"/>
      <c r="CA43" s="67"/>
      <c r="CB43" s="78"/>
      <c r="CC43" s="70"/>
      <c r="CD43" s="64"/>
      <c r="CE43" s="65" t="s">
        <v>50</v>
      </c>
      <c r="CF43" s="62">
        <v>0.0</v>
      </c>
      <c r="CG43" s="62">
        <v>2.0</v>
      </c>
      <c r="CH43" s="66" t="s">
        <v>48</v>
      </c>
      <c r="CI43" s="54"/>
      <c r="CJ43" s="54"/>
      <c r="CK43" s="67"/>
      <c r="CL43" s="78"/>
      <c r="CM43" s="70"/>
      <c r="CN43" s="72"/>
      <c r="CO43" s="73" t="s">
        <v>50</v>
      </c>
      <c r="CP43" s="74"/>
      <c r="CQ43" s="74"/>
      <c r="CR43" s="21" t="s">
        <v>48</v>
      </c>
      <c r="CS43" s="21"/>
      <c r="CT43" s="21"/>
      <c r="CU43" s="21"/>
      <c r="CV43" s="75"/>
      <c r="CW43" s="76"/>
    </row>
    <row r="44">
      <c r="A44" s="50"/>
      <c r="B44" s="59">
        <v>37.0</v>
      </c>
      <c r="C44" s="59" t="s">
        <v>51</v>
      </c>
      <c r="D44" s="60">
        <v>46194.0</v>
      </c>
      <c r="E44" s="61" t="s">
        <v>52</v>
      </c>
      <c r="F44" s="77"/>
      <c r="G44" s="77"/>
      <c r="H44" s="63" t="s">
        <v>54</v>
      </c>
      <c r="I44" s="33"/>
      <c r="J44" s="33"/>
      <c r="K44" s="52"/>
      <c r="L44" s="64"/>
      <c r="M44" s="65" t="s">
        <v>52</v>
      </c>
      <c r="N44" s="77"/>
      <c r="O44" s="77"/>
      <c r="P44" s="66" t="s">
        <v>54</v>
      </c>
      <c r="Q44" s="54"/>
      <c r="R44" s="54"/>
      <c r="S44" s="67">
        <v>0.0</v>
      </c>
      <c r="T44" s="78"/>
      <c r="U44" s="70"/>
      <c r="V44" s="64"/>
      <c r="W44" s="65" t="s">
        <v>52</v>
      </c>
      <c r="X44" s="77"/>
      <c r="Y44" s="77"/>
      <c r="Z44" s="66" t="s">
        <v>54</v>
      </c>
      <c r="AA44" s="54"/>
      <c r="AB44" s="54"/>
      <c r="AC44" s="67">
        <v>0.0</v>
      </c>
      <c r="AD44" s="78"/>
      <c r="AE44" s="70"/>
      <c r="AF44" s="64"/>
      <c r="AG44" s="65" t="s">
        <v>52</v>
      </c>
      <c r="AH44" s="77"/>
      <c r="AI44" s="77"/>
      <c r="AJ44" s="66" t="s">
        <v>54</v>
      </c>
      <c r="AK44" s="54"/>
      <c r="AL44" s="54"/>
      <c r="AM44" s="67">
        <v>0.0</v>
      </c>
      <c r="AN44" s="78"/>
      <c r="AO44" s="70"/>
      <c r="AP44" s="64"/>
      <c r="AQ44" s="65" t="s">
        <v>52</v>
      </c>
      <c r="AR44" s="77"/>
      <c r="AS44" s="77"/>
      <c r="AT44" s="66" t="s">
        <v>54</v>
      </c>
      <c r="AU44" s="54"/>
      <c r="AV44" s="54"/>
      <c r="AW44" s="67">
        <v>0.0</v>
      </c>
      <c r="AX44" s="78"/>
      <c r="AY44" s="70"/>
      <c r="AZ44" s="64"/>
      <c r="BA44" s="65" t="s">
        <v>52</v>
      </c>
      <c r="BB44" s="77"/>
      <c r="BC44" s="77"/>
      <c r="BD44" s="66" t="s">
        <v>54</v>
      </c>
      <c r="BE44" s="54"/>
      <c r="BF44" s="54"/>
      <c r="BG44" s="67">
        <v>0.0</v>
      </c>
      <c r="BH44" s="78"/>
      <c r="BI44" s="70"/>
      <c r="BJ44" s="64"/>
      <c r="BK44" s="65" t="s">
        <v>52</v>
      </c>
      <c r="BL44" s="62">
        <v>2.0</v>
      </c>
      <c r="BM44" s="62">
        <v>0.0</v>
      </c>
      <c r="BN44" s="66" t="s">
        <v>54</v>
      </c>
      <c r="BO44" s="54"/>
      <c r="BP44" s="54"/>
      <c r="BQ44" s="67">
        <v>0.0</v>
      </c>
      <c r="BR44" s="78"/>
      <c r="BS44" s="70"/>
      <c r="BT44" s="64"/>
      <c r="BU44" s="65" t="s">
        <v>52</v>
      </c>
      <c r="BV44" s="62"/>
      <c r="BW44" s="62"/>
      <c r="BX44" s="66" t="s">
        <v>54</v>
      </c>
      <c r="BY44" s="54"/>
      <c r="BZ44" s="54"/>
      <c r="CA44" s="67">
        <v>0.0</v>
      </c>
      <c r="CB44" s="78"/>
      <c r="CC44" s="70"/>
      <c r="CD44" s="64"/>
      <c r="CE44" s="65" t="s">
        <v>52</v>
      </c>
      <c r="CF44" s="62">
        <v>3.0</v>
      </c>
      <c r="CG44" s="62">
        <v>0.0</v>
      </c>
      <c r="CH44" s="66" t="s">
        <v>54</v>
      </c>
      <c r="CI44" s="54"/>
      <c r="CJ44" s="54"/>
      <c r="CK44" s="67">
        <v>0.0</v>
      </c>
      <c r="CL44" s="78"/>
      <c r="CM44" s="70"/>
      <c r="CN44" s="72"/>
      <c r="CO44" s="73" t="s">
        <v>52</v>
      </c>
      <c r="CP44" s="74"/>
      <c r="CQ44" s="74"/>
      <c r="CR44" s="21" t="s">
        <v>54</v>
      </c>
      <c r="CS44" s="21"/>
      <c r="CT44" s="21"/>
      <c r="CU44" s="103">
        <v>0.0</v>
      </c>
      <c r="CV44" s="75"/>
      <c r="CW44" s="76"/>
    </row>
    <row r="45">
      <c r="A45" s="50"/>
      <c r="B45" s="59">
        <v>38.0</v>
      </c>
      <c r="C45" s="59" t="s">
        <v>51</v>
      </c>
      <c r="D45" s="60">
        <v>46194.0</v>
      </c>
      <c r="E45" s="61" t="s">
        <v>55</v>
      </c>
      <c r="F45" s="77"/>
      <c r="G45" s="77"/>
      <c r="H45" s="63" t="s">
        <v>53</v>
      </c>
      <c r="I45" s="33"/>
      <c r="J45" s="33"/>
      <c r="K45" s="52"/>
      <c r="L45" s="64"/>
      <c r="M45" s="65" t="s">
        <v>55</v>
      </c>
      <c r="N45" s="77"/>
      <c r="O45" s="77"/>
      <c r="P45" s="66" t="s">
        <v>53</v>
      </c>
      <c r="Q45" s="54"/>
      <c r="R45" s="54"/>
      <c r="S45" s="67">
        <v>0.0</v>
      </c>
      <c r="T45" s="78"/>
      <c r="U45" s="70"/>
      <c r="V45" s="64"/>
      <c r="W45" s="65" t="s">
        <v>55</v>
      </c>
      <c r="X45" s="77"/>
      <c r="Y45" s="77"/>
      <c r="Z45" s="66" t="s">
        <v>53</v>
      </c>
      <c r="AA45" s="54"/>
      <c r="AB45" s="54"/>
      <c r="AC45" s="67">
        <v>0.0</v>
      </c>
      <c r="AD45" s="78"/>
      <c r="AE45" s="70"/>
      <c r="AF45" s="64"/>
      <c r="AG45" s="65" t="s">
        <v>55</v>
      </c>
      <c r="AH45" s="77"/>
      <c r="AI45" s="77"/>
      <c r="AJ45" s="66" t="s">
        <v>53</v>
      </c>
      <c r="AK45" s="54"/>
      <c r="AL45" s="54"/>
      <c r="AM45" s="67">
        <v>0.0</v>
      </c>
      <c r="AN45" s="78"/>
      <c r="AO45" s="70"/>
      <c r="AP45" s="64"/>
      <c r="AQ45" s="65" t="s">
        <v>55</v>
      </c>
      <c r="AR45" s="77"/>
      <c r="AS45" s="77"/>
      <c r="AT45" s="66" t="s">
        <v>53</v>
      </c>
      <c r="AU45" s="54"/>
      <c r="AV45" s="54"/>
      <c r="AW45" s="67">
        <v>0.0</v>
      </c>
      <c r="AX45" s="78"/>
      <c r="AY45" s="70"/>
      <c r="AZ45" s="64"/>
      <c r="BA45" s="65" t="s">
        <v>55</v>
      </c>
      <c r="BB45" s="77"/>
      <c r="BC45" s="77"/>
      <c r="BD45" s="66" t="s">
        <v>53</v>
      </c>
      <c r="BE45" s="54"/>
      <c r="BF45" s="54"/>
      <c r="BG45" s="67">
        <v>0.0</v>
      </c>
      <c r="BH45" s="78"/>
      <c r="BI45" s="70"/>
      <c r="BJ45" s="64"/>
      <c r="BK45" s="65" t="s">
        <v>55</v>
      </c>
      <c r="BL45" s="62">
        <v>1.0</v>
      </c>
      <c r="BM45" s="62">
        <v>0.0</v>
      </c>
      <c r="BN45" s="66" t="s">
        <v>53</v>
      </c>
      <c r="BO45" s="54"/>
      <c r="BP45" s="54"/>
      <c r="BQ45" s="67">
        <v>0.0</v>
      </c>
      <c r="BR45" s="78"/>
      <c r="BS45" s="70"/>
      <c r="BT45" s="64"/>
      <c r="BU45" s="65" t="s">
        <v>55</v>
      </c>
      <c r="BV45" s="62"/>
      <c r="BW45" s="62"/>
      <c r="BX45" s="66" t="s">
        <v>53</v>
      </c>
      <c r="BY45" s="54"/>
      <c r="BZ45" s="54"/>
      <c r="CA45" s="67">
        <v>0.0</v>
      </c>
      <c r="CB45" s="78"/>
      <c r="CC45" s="70"/>
      <c r="CD45" s="64"/>
      <c r="CE45" s="65" t="s">
        <v>55</v>
      </c>
      <c r="CF45" s="62">
        <v>2.0</v>
      </c>
      <c r="CG45" s="62">
        <v>1.0</v>
      </c>
      <c r="CH45" s="66" t="s">
        <v>53</v>
      </c>
      <c r="CI45" s="54"/>
      <c r="CJ45" s="54"/>
      <c r="CK45" s="67">
        <v>0.0</v>
      </c>
      <c r="CL45" s="78"/>
      <c r="CM45" s="70"/>
      <c r="CN45" s="72"/>
      <c r="CO45" s="73" t="s">
        <v>55</v>
      </c>
      <c r="CP45" s="74"/>
      <c r="CQ45" s="74"/>
      <c r="CR45" s="21" t="s">
        <v>53</v>
      </c>
      <c r="CS45" s="21"/>
      <c r="CT45" s="21"/>
      <c r="CU45" s="103">
        <v>0.0</v>
      </c>
      <c r="CV45" s="75"/>
      <c r="CW45" s="76"/>
    </row>
    <row r="46">
      <c r="A46" s="50"/>
      <c r="B46" s="59">
        <v>39.0</v>
      </c>
      <c r="C46" s="59" t="s">
        <v>56</v>
      </c>
      <c r="D46" s="60">
        <v>46194.0</v>
      </c>
      <c r="E46" s="61" t="s">
        <v>60</v>
      </c>
      <c r="F46" s="77"/>
      <c r="G46" s="77"/>
      <c r="H46" s="63" t="s">
        <v>58</v>
      </c>
      <c r="I46" s="33"/>
      <c r="J46" s="33"/>
      <c r="K46" s="52"/>
      <c r="L46" s="64"/>
      <c r="M46" s="65" t="s">
        <v>60</v>
      </c>
      <c r="N46" s="77"/>
      <c r="O46" s="77"/>
      <c r="P46" s="66" t="s">
        <v>58</v>
      </c>
      <c r="Q46" s="54"/>
      <c r="R46" s="54"/>
      <c r="S46" s="67">
        <v>0.0</v>
      </c>
      <c r="T46" s="78"/>
      <c r="U46" s="70"/>
      <c r="V46" s="64"/>
      <c r="W46" s="65" t="s">
        <v>60</v>
      </c>
      <c r="X46" s="77"/>
      <c r="Y46" s="77"/>
      <c r="Z46" s="66" t="s">
        <v>58</v>
      </c>
      <c r="AA46" s="54"/>
      <c r="AB46" s="54"/>
      <c r="AC46" s="67">
        <v>0.0</v>
      </c>
      <c r="AD46" s="78"/>
      <c r="AE46" s="70"/>
      <c r="AF46" s="64"/>
      <c r="AG46" s="65" t="s">
        <v>60</v>
      </c>
      <c r="AH46" s="77"/>
      <c r="AI46" s="77"/>
      <c r="AJ46" s="66" t="s">
        <v>58</v>
      </c>
      <c r="AK46" s="54"/>
      <c r="AL46" s="54"/>
      <c r="AM46" s="67">
        <v>0.0</v>
      </c>
      <c r="AN46" s="78"/>
      <c r="AO46" s="70"/>
      <c r="AP46" s="64"/>
      <c r="AQ46" s="65" t="s">
        <v>60</v>
      </c>
      <c r="AR46" s="77"/>
      <c r="AS46" s="77"/>
      <c r="AT46" s="66" t="s">
        <v>58</v>
      </c>
      <c r="AU46" s="54"/>
      <c r="AV46" s="54"/>
      <c r="AW46" s="67">
        <v>0.0</v>
      </c>
      <c r="AX46" s="78"/>
      <c r="AY46" s="70"/>
      <c r="AZ46" s="64"/>
      <c r="BA46" s="65" t="s">
        <v>60</v>
      </c>
      <c r="BB46" s="77"/>
      <c r="BC46" s="77"/>
      <c r="BD46" s="66" t="s">
        <v>58</v>
      </c>
      <c r="BE46" s="54"/>
      <c r="BF46" s="54"/>
      <c r="BG46" s="67">
        <v>0.0</v>
      </c>
      <c r="BH46" s="78"/>
      <c r="BI46" s="70"/>
      <c r="BJ46" s="64"/>
      <c r="BK46" s="65" t="s">
        <v>60</v>
      </c>
      <c r="BL46" s="62">
        <v>1.0</v>
      </c>
      <c r="BM46" s="62">
        <v>0.0</v>
      </c>
      <c r="BN46" s="66" t="s">
        <v>58</v>
      </c>
      <c r="BO46" s="54"/>
      <c r="BP46" s="54"/>
      <c r="BQ46" s="67">
        <v>0.0</v>
      </c>
      <c r="BR46" s="78"/>
      <c r="BS46" s="70"/>
      <c r="BT46" s="64"/>
      <c r="BU46" s="65" t="s">
        <v>60</v>
      </c>
      <c r="BV46" s="62"/>
      <c r="BW46" s="62"/>
      <c r="BX46" s="66" t="s">
        <v>58</v>
      </c>
      <c r="BY46" s="54"/>
      <c r="BZ46" s="54"/>
      <c r="CA46" s="67">
        <v>0.0</v>
      </c>
      <c r="CB46" s="78"/>
      <c r="CC46" s="70"/>
      <c r="CD46" s="64"/>
      <c r="CE46" s="65" t="s">
        <v>60</v>
      </c>
      <c r="CF46" s="62">
        <v>3.0</v>
      </c>
      <c r="CG46" s="62">
        <v>0.0</v>
      </c>
      <c r="CH46" s="66" t="s">
        <v>58</v>
      </c>
      <c r="CI46" s="54"/>
      <c r="CJ46" s="54"/>
      <c r="CK46" s="67">
        <v>0.0</v>
      </c>
      <c r="CL46" s="78"/>
      <c r="CM46" s="70"/>
      <c r="CN46" s="72"/>
      <c r="CO46" s="73" t="s">
        <v>60</v>
      </c>
      <c r="CP46" s="74"/>
      <c r="CQ46" s="74"/>
      <c r="CR46" s="21" t="s">
        <v>58</v>
      </c>
      <c r="CS46" s="21"/>
      <c r="CT46" s="21"/>
      <c r="CU46" s="103">
        <v>0.0</v>
      </c>
      <c r="CV46" s="75"/>
      <c r="CW46" s="76"/>
    </row>
    <row r="47">
      <c r="A47" s="50"/>
      <c r="B47" s="59">
        <v>40.0</v>
      </c>
      <c r="C47" s="59" t="s">
        <v>56</v>
      </c>
      <c r="D47" s="60">
        <v>46194.0</v>
      </c>
      <c r="E47" s="61" t="s">
        <v>57</v>
      </c>
      <c r="F47" s="77"/>
      <c r="G47" s="77"/>
      <c r="H47" s="63" t="s">
        <v>59</v>
      </c>
      <c r="I47" s="33"/>
      <c r="J47" s="33"/>
      <c r="K47" s="52"/>
      <c r="L47" s="64"/>
      <c r="M47" s="65" t="s">
        <v>57</v>
      </c>
      <c r="N47" s="77"/>
      <c r="O47" s="77"/>
      <c r="P47" s="66" t="s">
        <v>59</v>
      </c>
      <c r="Q47" s="54"/>
      <c r="R47" s="54"/>
      <c r="S47" s="67">
        <v>0.0</v>
      </c>
      <c r="T47" s="78"/>
      <c r="U47" s="70"/>
      <c r="V47" s="64"/>
      <c r="W47" s="65" t="s">
        <v>57</v>
      </c>
      <c r="X47" s="77"/>
      <c r="Y47" s="77"/>
      <c r="Z47" s="66" t="s">
        <v>59</v>
      </c>
      <c r="AA47" s="54"/>
      <c r="AB47" s="54"/>
      <c r="AC47" s="67">
        <v>0.0</v>
      </c>
      <c r="AD47" s="78"/>
      <c r="AE47" s="70"/>
      <c r="AF47" s="64"/>
      <c r="AG47" s="65" t="s">
        <v>57</v>
      </c>
      <c r="AH47" s="77"/>
      <c r="AI47" s="77"/>
      <c r="AJ47" s="66" t="s">
        <v>59</v>
      </c>
      <c r="AK47" s="54"/>
      <c r="AL47" s="54"/>
      <c r="AM47" s="67">
        <v>0.0</v>
      </c>
      <c r="AN47" s="78"/>
      <c r="AO47" s="70"/>
      <c r="AP47" s="64"/>
      <c r="AQ47" s="65" t="s">
        <v>57</v>
      </c>
      <c r="AR47" s="77"/>
      <c r="AS47" s="77"/>
      <c r="AT47" s="66" t="s">
        <v>59</v>
      </c>
      <c r="AU47" s="54"/>
      <c r="AV47" s="54"/>
      <c r="AW47" s="67">
        <v>0.0</v>
      </c>
      <c r="AX47" s="78"/>
      <c r="AY47" s="70"/>
      <c r="AZ47" s="64"/>
      <c r="BA47" s="65" t="s">
        <v>57</v>
      </c>
      <c r="BB47" s="77"/>
      <c r="BC47" s="77"/>
      <c r="BD47" s="66" t="s">
        <v>59</v>
      </c>
      <c r="BE47" s="54"/>
      <c r="BF47" s="54"/>
      <c r="BG47" s="67">
        <v>0.0</v>
      </c>
      <c r="BH47" s="78"/>
      <c r="BI47" s="70"/>
      <c r="BJ47" s="64"/>
      <c r="BK47" s="65" t="s">
        <v>57</v>
      </c>
      <c r="BL47" s="62">
        <v>3.0</v>
      </c>
      <c r="BM47" s="62">
        <v>0.0</v>
      </c>
      <c r="BN47" s="66" t="s">
        <v>59</v>
      </c>
      <c r="BO47" s="54"/>
      <c r="BP47" s="54"/>
      <c r="BQ47" s="67">
        <v>0.0</v>
      </c>
      <c r="BR47" s="78"/>
      <c r="BS47" s="70"/>
      <c r="BT47" s="64"/>
      <c r="BU47" s="65" t="s">
        <v>57</v>
      </c>
      <c r="BV47" s="62"/>
      <c r="BW47" s="62"/>
      <c r="BX47" s="66" t="s">
        <v>59</v>
      </c>
      <c r="BY47" s="54"/>
      <c r="BZ47" s="54"/>
      <c r="CA47" s="67">
        <v>0.0</v>
      </c>
      <c r="CB47" s="78"/>
      <c r="CC47" s="70"/>
      <c r="CD47" s="64"/>
      <c r="CE47" s="65" t="s">
        <v>57</v>
      </c>
      <c r="CF47" s="62">
        <v>4.0</v>
      </c>
      <c r="CG47" s="62">
        <v>0.0</v>
      </c>
      <c r="CH47" s="66" t="s">
        <v>59</v>
      </c>
      <c r="CI47" s="54"/>
      <c r="CJ47" s="54"/>
      <c r="CK47" s="67">
        <v>0.0</v>
      </c>
      <c r="CL47" s="78"/>
      <c r="CM47" s="70"/>
      <c r="CN47" s="72"/>
      <c r="CO47" s="73" t="s">
        <v>57</v>
      </c>
      <c r="CP47" s="74"/>
      <c r="CQ47" s="74"/>
      <c r="CR47" s="21" t="s">
        <v>59</v>
      </c>
      <c r="CS47" s="21"/>
      <c r="CT47" s="21"/>
      <c r="CU47" s="103">
        <v>0.0</v>
      </c>
      <c r="CV47" s="75"/>
      <c r="CW47" s="76"/>
    </row>
    <row r="48">
      <c r="A48" s="50"/>
      <c r="B48" s="59">
        <v>41.0</v>
      </c>
      <c r="C48" s="59" t="s">
        <v>61</v>
      </c>
      <c r="D48" s="60">
        <v>46195.0</v>
      </c>
      <c r="E48" s="61" t="s">
        <v>62</v>
      </c>
      <c r="F48" s="77"/>
      <c r="G48" s="77"/>
      <c r="H48" s="63" t="s">
        <v>64</v>
      </c>
      <c r="I48" s="33"/>
      <c r="J48" s="33"/>
      <c r="K48" s="52"/>
      <c r="L48" s="64"/>
      <c r="M48" s="65" t="s">
        <v>62</v>
      </c>
      <c r="N48" s="77"/>
      <c r="O48" s="77"/>
      <c r="P48" s="66" t="s">
        <v>64</v>
      </c>
      <c r="Q48" s="54"/>
      <c r="R48" s="54"/>
      <c r="S48" s="67">
        <v>0.0</v>
      </c>
      <c r="T48" s="78"/>
      <c r="U48" s="70"/>
      <c r="V48" s="64"/>
      <c r="W48" s="65" t="s">
        <v>62</v>
      </c>
      <c r="X48" s="77"/>
      <c r="Y48" s="77"/>
      <c r="Z48" s="66" t="s">
        <v>64</v>
      </c>
      <c r="AA48" s="54"/>
      <c r="AB48" s="54"/>
      <c r="AC48" s="67">
        <v>0.0</v>
      </c>
      <c r="AD48" s="78"/>
      <c r="AE48" s="70"/>
      <c r="AF48" s="64"/>
      <c r="AG48" s="65" t="s">
        <v>62</v>
      </c>
      <c r="AH48" s="77"/>
      <c r="AI48" s="77"/>
      <c r="AJ48" s="66" t="s">
        <v>64</v>
      </c>
      <c r="AK48" s="54"/>
      <c r="AL48" s="54"/>
      <c r="AM48" s="67">
        <v>0.0</v>
      </c>
      <c r="AN48" s="78"/>
      <c r="AO48" s="70"/>
      <c r="AP48" s="64"/>
      <c r="AQ48" s="65" t="s">
        <v>62</v>
      </c>
      <c r="AR48" s="77"/>
      <c r="AS48" s="77"/>
      <c r="AT48" s="66" t="s">
        <v>64</v>
      </c>
      <c r="AU48" s="54"/>
      <c r="AV48" s="54"/>
      <c r="AW48" s="67">
        <v>0.0</v>
      </c>
      <c r="AX48" s="78"/>
      <c r="AY48" s="70"/>
      <c r="AZ48" s="64"/>
      <c r="BA48" s="65" t="s">
        <v>62</v>
      </c>
      <c r="BB48" s="77"/>
      <c r="BC48" s="77"/>
      <c r="BD48" s="66" t="s">
        <v>64</v>
      </c>
      <c r="BE48" s="54"/>
      <c r="BF48" s="54"/>
      <c r="BG48" s="67">
        <v>0.0</v>
      </c>
      <c r="BH48" s="78"/>
      <c r="BI48" s="70"/>
      <c r="BJ48" s="64"/>
      <c r="BK48" s="65" t="s">
        <v>62</v>
      </c>
      <c r="BL48" s="62">
        <v>2.0</v>
      </c>
      <c r="BM48" s="62">
        <v>0.0</v>
      </c>
      <c r="BN48" s="66" t="s">
        <v>64</v>
      </c>
      <c r="BO48" s="54"/>
      <c r="BP48" s="54"/>
      <c r="BQ48" s="67">
        <v>0.0</v>
      </c>
      <c r="BR48" s="78"/>
      <c r="BS48" s="70"/>
      <c r="BT48" s="64"/>
      <c r="BU48" s="65" t="s">
        <v>62</v>
      </c>
      <c r="BV48" s="62"/>
      <c r="BW48" s="62"/>
      <c r="BX48" s="66" t="s">
        <v>64</v>
      </c>
      <c r="BY48" s="54"/>
      <c r="BZ48" s="54"/>
      <c r="CA48" s="67">
        <v>0.0</v>
      </c>
      <c r="CB48" s="78"/>
      <c r="CC48" s="70"/>
      <c r="CD48" s="64"/>
      <c r="CE48" s="65" t="s">
        <v>62</v>
      </c>
      <c r="CF48" s="62">
        <v>2.0</v>
      </c>
      <c r="CG48" s="62">
        <v>1.0</v>
      </c>
      <c r="CH48" s="66" t="s">
        <v>64</v>
      </c>
      <c r="CI48" s="54"/>
      <c r="CJ48" s="54"/>
      <c r="CK48" s="67">
        <v>0.0</v>
      </c>
      <c r="CL48" s="78"/>
      <c r="CM48" s="70"/>
      <c r="CN48" s="72"/>
      <c r="CO48" s="73" t="s">
        <v>62</v>
      </c>
      <c r="CP48" s="74"/>
      <c r="CQ48" s="74"/>
      <c r="CR48" s="21" t="s">
        <v>64</v>
      </c>
      <c r="CS48" s="21"/>
      <c r="CT48" s="21"/>
      <c r="CU48" s="103">
        <v>0.0</v>
      </c>
      <c r="CV48" s="75"/>
      <c r="CW48" s="76"/>
    </row>
    <row r="49">
      <c r="A49" s="50"/>
      <c r="B49" s="59">
        <v>42.0</v>
      </c>
      <c r="C49" s="59" t="s">
        <v>61</v>
      </c>
      <c r="D49" s="60">
        <v>46195.0</v>
      </c>
      <c r="E49" s="61" t="s">
        <v>65</v>
      </c>
      <c r="F49" s="77"/>
      <c r="G49" s="77"/>
      <c r="H49" s="63" t="s">
        <v>63</v>
      </c>
      <c r="I49" s="33"/>
      <c r="J49" s="33"/>
      <c r="K49" s="52"/>
      <c r="L49" s="64"/>
      <c r="M49" s="65" t="s">
        <v>65</v>
      </c>
      <c r="N49" s="77"/>
      <c r="O49" s="77"/>
      <c r="P49" s="66" t="s">
        <v>63</v>
      </c>
      <c r="Q49" s="54"/>
      <c r="R49" s="54"/>
      <c r="S49" s="67">
        <v>0.0</v>
      </c>
      <c r="T49" s="78"/>
      <c r="U49" s="70"/>
      <c r="V49" s="64"/>
      <c r="W49" s="65" t="s">
        <v>65</v>
      </c>
      <c r="X49" s="77"/>
      <c r="Y49" s="77"/>
      <c r="Z49" s="66" t="s">
        <v>63</v>
      </c>
      <c r="AA49" s="54"/>
      <c r="AB49" s="54"/>
      <c r="AC49" s="67">
        <v>0.0</v>
      </c>
      <c r="AD49" s="78"/>
      <c r="AE49" s="70"/>
      <c r="AF49" s="64"/>
      <c r="AG49" s="65" t="s">
        <v>65</v>
      </c>
      <c r="AH49" s="77"/>
      <c r="AI49" s="77"/>
      <c r="AJ49" s="66" t="s">
        <v>63</v>
      </c>
      <c r="AK49" s="54"/>
      <c r="AL49" s="54"/>
      <c r="AM49" s="67">
        <v>0.0</v>
      </c>
      <c r="AN49" s="78"/>
      <c r="AO49" s="70"/>
      <c r="AP49" s="64"/>
      <c r="AQ49" s="65" t="s">
        <v>65</v>
      </c>
      <c r="AR49" s="77"/>
      <c r="AS49" s="77"/>
      <c r="AT49" s="66" t="s">
        <v>63</v>
      </c>
      <c r="AU49" s="54"/>
      <c r="AV49" s="54"/>
      <c r="AW49" s="67">
        <v>0.0</v>
      </c>
      <c r="AX49" s="78"/>
      <c r="AY49" s="70"/>
      <c r="AZ49" s="64"/>
      <c r="BA49" s="65" t="s">
        <v>65</v>
      </c>
      <c r="BB49" s="77"/>
      <c r="BC49" s="77"/>
      <c r="BD49" s="66" t="s">
        <v>63</v>
      </c>
      <c r="BE49" s="54"/>
      <c r="BF49" s="54"/>
      <c r="BG49" s="67">
        <v>0.0</v>
      </c>
      <c r="BH49" s="78"/>
      <c r="BI49" s="70"/>
      <c r="BJ49" s="64"/>
      <c r="BK49" s="65" t="s">
        <v>65</v>
      </c>
      <c r="BL49" s="62">
        <v>1.0</v>
      </c>
      <c r="BM49" s="62">
        <v>0.0</v>
      </c>
      <c r="BN49" s="66" t="s">
        <v>63</v>
      </c>
      <c r="BO49" s="54"/>
      <c r="BP49" s="54"/>
      <c r="BQ49" s="67">
        <v>0.0</v>
      </c>
      <c r="BR49" s="78"/>
      <c r="BS49" s="70"/>
      <c r="BT49" s="64"/>
      <c r="BU49" s="65" t="s">
        <v>65</v>
      </c>
      <c r="BV49" s="62"/>
      <c r="BW49" s="62"/>
      <c r="BX49" s="66" t="s">
        <v>63</v>
      </c>
      <c r="BY49" s="54"/>
      <c r="BZ49" s="54"/>
      <c r="CA49" s="67">
        <v>0.0</v>
      </c>
      <c r="CB49" s="78"/>
      <c r="CC49" s="70"/>
      <c r="CD49" s="64"/>
      <c r="CE49" s="65" t="s">
        <v>65</v>
      </c>
      <c r="CF49" s="62">
        <v>2.0</v>
      </c>
      <c r="CG49" s="62">
        <v>1.0</v>
      </c>
      <c r="CH49" s="66" t="s">
        <v>63</v>
      </c>
      <c r="CI49" s="54"/>
      <c r="CJ49" s="54"/>
      <c r="CK49" s="67">
        <v>0.0</v>
      </c>
      <c r="CL49" s="78"/>
      <c r="CM49" s="70"/>
      <c r="CN49" s="72"/>
      <c r="CO49" s="73" t="s">
        <v>65</v>
      </c>
      <c r="CP49" s="74"/>
      <c r="CQ49" s="74"/>
      <c r="CR49" s="21" t="s">
        <v>63</v>
      </c>
      <c r="CS49" s="21"/>
      <c r="CT49" s="21"/>
      <c r="CU49" s="103">
        <v>0.0</v>
      </c>
      <c r="CV49" s="75"/>
      <c r="CW49" s="76"/>
    </row>
    <row r="50">
      <c r="A50" s="50"/>
      <c r="B50" s="59">
        <v>43.0</v>
      </c>
      <c r="C50" s="59" t="s">
        <v>66</v>
      </c>
      <c r="D50" s="60">
        <v>46195.0</v>
      </c>
      <c r="E50" s="61" t="s">
        <v>67</v>
      </c>
      <c r="F50" s="77"/>
      <c r="G50" s="77"/>
      <c r="H50" s="63" t="s">
        <v>69</v>
      </c>
      <c r="I50" s="33"/>
      <c r="J50" s="33"/>
      <c r="K50" s="52"/>
      <c r="L50" s="64"/>
      <c r="M50" s="65" t="s">
        <v>67</v>
      </c>
      <c r="N50" s="77"/>
      <c r="O50" s="77"/>
      <c r="P50" s="66" t="s">
        <v>69</v>
      </c>
      <c r="Q50" s="54"/>
      <c r="R50" s="54"/>
      <c r="S50" s="67">
        <v>0.0</v>
      </c>
      <c r="T50" s="78"/>
      <c r="U50" s="70"/>
      <c r="V50" s="64"/>
      <c r="W50" s="65" t="s">
        <v>67</v>
      </c>
      <c r="X50" s="77"/>
      <c r="Y50" s="77"/>
      <c r="Z50" s="66" t="s">
        <v>69</v>
      </c>
      <c r="AA50" s="54"/>
      <c r="AB50" s="54"/>
      <c r="AC50" s="67">
        <v>0.0</v>
      </c>
      <c r="AD50" s="78"/>
      <c r="AE50" s="70"/>
      <c r="AF50" s="64"/>
      <c r="AG50" s="65" t="s">
        <v>67</v>
      </c>
      <c r="AH50" s="77"/>
      <c r="AI50" s="77"/>
      <c r="AJ50" s="66" t="s">
        <v>69</v>
      </c>
      <c r="AK50" s="54"/>
      <c r="AL50" s="54"/>
      <c r="AM50" s="67">
        <v>0.0</v>
      </c>
      <c r="AN50" s="78"/>
      <c r="AO50" s="70"/>
      <c r="AP50" s="64"/>
      <c r="AQ50" s="65" t="s">
        <v>67</v>
      </c>
      <c r="AR50" s="77"/>
      <c r="AS50" s="77"/>
      <c r="AT50" s="66" t="s">
        <v>69</v>
      </c>
      <c r="AU50" s="54"/>
      <c r="AV50" s="54"/>
      <c r="AW50" s="67">
        <v>0.0</v>
      </c>
      <c r="AX50" s="78"/>
      <c r="AY50" s="70"/>
      <c r="AZ50" s="64"/>
      <c r="BA50" s="65" t="s">
        <v>67</v>
      </c>
      <c r="BB50" s="77"/>
      <c r="BC50" s="77"/>
      <c r="BD50" s="66" t="s">
        <v>69</v>
      </c>
      <c r="BE50" s="54"/>
      <c r="BF50" s="54"/>
      <c r="BG50" s="67">
        <v>0.0</v>
      </c>
      <c r="BH50" s="78"/>
      <c r="BI50" s="70"/>
      <c r="BJ50" s="64"/>
      <c r="BK50" s="65" t="s">
        <v>67</v>
      </c>
      <c r="BL50" s="62">
        <v>4.0</v>
      </c>
      <c r="BM50" s="62">
        <v>1.0</v>
      </c>
      <c r="BN50" s="66" t="s">
        <v>69</v>
      </c>
      <c r="BO50" s="54"/>
      <c r="BP50" s="54"/>
      <c r="BQ50" s="67">
        <v>0.0</v>
      </c>
      <c r="BR50" s="78"/>
      <c r="BS50" s="70"/>
      <c r="BT50" s="64"/>
      <c r="BU50" s="65" t="s">
        <v>67</v>
      </c>
      <c r="BV50" s="62"/>
      <c r="BW50" s="62"/>
      <c r="BX50" s="66" t="s">
        <v>69</v>
      </c>
      <c r="BY50" s="54"/>
      <c r="BZ50" s="54"/>
      <c r="CA50" s="67">
        <v>0.0</v>
      </c>
      <c r="CB50" s="78"/>
      <c r="CC50" s="70"/>
      <c r="CD50" s="64"/>
      <c r="CE50" s="65" t="s">
        <v>67</v>
      </c>
      <c r="CF50" s="62">
        <v>2.0</v>
      </c>
      <c r="CG50" s="62">
        <v>0.0</v>
      </c>
      <c r="CH50" s="66" t="s">
        <v>69</v>
      </c>
      <c r="CI50" s="54"/>
      <c r="CJ50" s="54"/>
      <c r="CK50" s="67">
        <v>0.0</v>
      </c>
      <c r="CL50" s="78"/>
      <c r="CM50" s="70"/>
      <c r="CN50" s="72"/>
      <c r="CO50" s="73" t="s">
        <v>67</v>
      </c>
      <c r="CP50" s="74"/>
      <c r="CQ50" s="74"/>
      <c r="CR50" s="21" t="s">
        <v>69</v>
      </c>
      <c r="CS50" s="21"/>
      <c r="CT50" s="21"/>
      <c r="CU50" s="103">
        <v>0.0</v>
      </c>
      <c r="CV50" s="75"/>
      <c r="CW50" s="76"/>
    </row>
    <row r="51">
      <c r="A51" s="50"/>
      <c r="B51" s="59">
        <v>44.0</v>
      </c>
      <c r="C51" s="59" t="s">
        <v>66</v>
      </c>
      <c r="D51" s="60">
        <v>46195.0</v>
      </c>
      <c r="E51" s="61" t="s">
        <v>70</v>
      </c>
      <c r="F51" s="77"/>
      <c r="G51" s="77"/>
      <c r="H51" s="63" t="s">
        <v>68</v>
      </c>
      <c r="I51" s="33"/>
      <c r="J51" s="33"/>
      <c r="K51" s="52"/>
      <c r="L51" s="64"/>
      <c r="M51" s="65" t="s">
        <v>70</v>
      </c>
      <c r="N51" s="77"/>
      <c r="O51" s="77"/>
      <c r="P51" s="66" t="s">
        <v>68</v>
      </c>
      <c r="Q51" s="54"/>
      <c r="R51" s="54"/>
      <c r="S51" s="67">
        <v>0.0</v>
      </c>
      <c r="T51" s="78"/>
      <c r="U51" s="70"/>
      <c r="V51" s="64"/>
      <c r="W51" s="65" t="s">
        <v>70</v>
      </c>
      <c r="X51" s="77"/>
      <c r="Y51" s="77"/>
      <c r="Z51" s="66" t="s">
        <v>68</v>
      </c>
      <c r="AA51" s="54"/>
      <c r="AB51" s="54"/>
      <c r="AC51" s="67">
        <v>0.0</v>
      </c>
      <c r="AD51" s="78"/>
      <c r="AE51" s="70"/>
      <c r="AF51" s="64"/>
      <c r="AG51" s="65" t="s">
        <v>70</v>
      </c>
      <c r="AH51" s="77"/>
      <c r="AI51" s="77"/>
      <c r="AJ51" s="66" t="s">
        <v>68</v>
      </c>
      <c r="AK51" s="54"/>
      <c r="AL51" s="54"/>
      <c r="AM51" s="67">
        <v>0.0</v>
      </c>
      <c r="AN51" s="78"/>
      <c r="AO51" s="70"/>
      <c r="AP51" s="64"/>
      <c r="AQ51" s="65" t="s">
        <v>70</v>
      </c>
      <c r="AR51" s="77"/>
      <c r="AS51" s="77"/>
      <c r="AT51" s="66" t="s">
        <v>68</v>
      </c>
      <c r="AU51" s="54"/>
      <c r="AV51" s="54"/>
      <c r="AW51" s="67">
        <v>0.0</v>
      </c>
      <c r="AX51" s="78"/>
      <c r="AY51" s="70"/>
      <c r="AZ51" s="64"/>
      <c r="BA51" s="65" t="s">
        <v>70</v>
      </c>
      <c r="BB51" s="77"/>
      <c r="BC51" s="77"/>
      <c r="BD51" s="66" t="s">
        <v>68</v>
      </c>
      <c r="BE51" s="54"/>
      <c r="BF51" s="54"/>
      <c r="BG51" s="67">
        <v>0.0</v>
      </c>
      <c r="BH51" s="78"/>
      <c r="BI51" s="70"/>
      <c r="BJ51" s="64"/>
      <c r="BK51" s="65" t="s">
        <v>70</v>
      </c>
      <c r="BL51" s="62">
        <v>1.0</v>
      </c>
      <c r="BM51" s="62">
        <v>2.0</v>
      </c>
      <c r="BN51" s="66" t="s">
        <v>68</v>
      </c>
      <c r="BO51" s="54"/>
      <c r="BP51" s="54"/>
      <c r="BQ51" s="67">
        <v>0.0</v>
      </c>
      <c r="BR51" s="78"/>
      <c r="BS51" s="70"/>
      <c r="BT51" s="64"/>
      <c r="BU51" s="65" t="s">
        <v>70</v>
      </c>
      <c r="BV51" s="62"/>
      <c r="BW51" s="62"/>
      <c r="BX51" s="66" t="s">
        <v>68</v>
      </c>
      <c r="BY51" s="54"/>
      <c r="BZ51" s="54"/>
      <c r="CA51" s="67">
        <v>0.0</v>
      </c>
      <c r="CB51" s="78"/>
      <c r="CC51" s="70"/>
      <c r="CD51" s="64"/>
      <c r="CE51" s="65" t="s">
        <v>70</v>
      </c>
      <c r="CF51" s="62">
        <v>0.0</v>
      </c>
      <c r="CG51" s="62">
        <v>2.0</v>
      </c>
      <c r="CH51" s="66" t="s">
        <v>68</v>
      </c>
      <c r="CI51" s="54"/>
      <c r="CJ51" s="54"/>
      <c r="CK51" s="67">
        <v>0.0</v>
      </c>
      <c r="CL51" s="78"/>
      <c r="CM51" s="70"/>
      <c r="CN51" s="72"/>
      <c r="CO51" s="73" t="s">
        <v>70</v>
      </c>
      <c r="CP51" s="74"/>
      <c r="CQ51" s="74"/>
      <c r="CR51" s="21" t="s">
        <v>68</v>
      </c>
      <c r="CS51" s="21"/>
      <c r="CT51" s="21"/>
      <c r="CU51" s="103">
        <v>0.0</v>
      </c>
      <c r="CV51" s="75"/>
      <c r="CW51" s="76"/>
    </row>
    <row r="52">
      <c r="A52" s="50"/>
      <c r="B52" s="59">
        <v>45.0</v>
      </c>
      <c r="C52" s="59" t="s">
        <v>71</v>
      </c>
      <c r="D52" s="60">
        <v>46196.0</v>
      </c>
      <c r="E52" s="61" t="s">
        <v>72</v>
      </c>
      <c r="F52" s="77"/>
      <c r="G52" s="77"/>
      <c r="H52" s="63" t="s">
        <v>74</v>
      </c>
      <c r="I52" s="33"/>
      <c r="J52" s="33"/>
      <c r="K52" s="52"/>
      <c r="L52" s="64"/>
      <c r="M52" s="65" t="s">
        <v>72</v>
      </c>
      <c r="N52" s="77"/>
      <c r="O52" s="77"/>
      <c r="P52" s="66" t="s">
        <v>74</v>
      </c>
      <c r="Q52" s="54"/>
      <c r="R52" s="54"/>
      <c r="S52" s="67">
        <v>0.0</v>
      </c>
      <c r="T52" s="78"/>
      <c r="U52" s="70"/>
      <c r="V52" s="64"/>
      <c r="W52" s="65" t="s">
        <v>72</v>
      </c>
      <c r="X52" s="77"/>
      <c r="Y52" s="77"/>
      <c r="Z52" s="66" t="s">
        <v>74</v>
      </c>
      <c r="AA52" s="54"/>
      <c r="AB52" s="54"/>
      <c r="AC52" s="67">
        <v>0.0</v>
      </c>
      <c r="AD52" s="78"/>
      <c r="AE52" s="70"/>
      <c r="AF52" s="64"/>
      <c r="AG52" s="65" t="s">
        <v>72</v>
      </c>
      <c r="AH52" s="77"/>
      <c r="AI52" s="77"/>
      <c r="AJ52" s="66" t="s">
        <v>74</v>
      </c>
      <c r="AK52" s="54"/>
      <c r="AL52" s="54"/>
      <c r="AM52" s="67">
        <v>0.0</v>
      </c>
      <c r="AN52" s="78"/>
      <c r="AO52" s="70"/>
      <c r="AP52" s="64"/>
      <c r="AQ52" s="65" t="s">
        <v>72</v>
      </c>
      <c r="AR52" s="77"/>
      <c r="AS52" s="77"/>
      <c r="AT52" s="66" t="s">
        <v>74</v>
      </c>
      <c r="AU52" s="54"/>
      <c r="AV52" s="54"/>
      <c r="AW52" s="67">
        <v>0.0</v>
      </c>
      <c r="AX52" s="78"/>
      <c r="AY52" s="70"/>
      <c r="AZ52" s="64"/>
      <c r="BA52" s="65" t="s">
        <v>72</v>
      </c>
      <c r="BB52" s="77"/>
      <c r="BC52" s="77"/>
      <c r="BD52" s="66" t="s">
        <v>74</v>
      </c>
      <c r="BE52" s="54"/>
      <c r="BF52" s="54"/>
      <c r="BG52" s="67">
        <v>0.0</v>
      </c>
      <c r="BH52" s="78"/>
      <c r="BI52" s="70"/>
      <c r="BJ52" s="64"/>
      <c r="BK52" s="65" t="s">
        <v>72</v>
      </c>
      <c r="BL52" s="62">
        <v>6.0</v>
      </c>
      <c r="BM52" s="62">
        <v>2.0</v>
      </c>
      <c r="BN52" s="66" t="s">
        <v>74</v>
      </c>
      <c r="BO52" s="54"/>
      <c r="BP52" s="54"/>
      <c r="BQ52" s="67">
        <v>0.0</v>
      </c>
      <c r="BR52" s="78"/>
      <c r="BS52" s="70"/>
      <c r="BT52" s="64"/>
      <c r="BU52" s="65" t="s">
        <v>72</v>
      </c>
      <c r="BV52" s="62"/>
      <c r="BW52" s="62"/>
      <c r="BX52" s="66" t="s">
        <v>74</v>
      </c>
      <c r="BY52" s="54"/>
      <c r="BZ52" s="54"/>
      <c r="CA52" s="67">
        <v>0.0</v>
      </c>
      <c r="CB52" s="78"/>
      <c r="CC52" s="70"/>
      <c r="CD52" s="64"/>
      <c r="CE52" s="65" t="s">
        <v>72</v>
      </c>
      <c r="CF52" s="62">
        <v>3.0</v>
      </c>
      <c r="CG52" s="62">
        <v>1.0</v>
      </c>
      <c r="CH52" s="66" t="s">
        <v>74</v>
      </c>
      <c r="CI52" s="54"/>
      <c r="CJ52" s="54"/>
      <c r="CK52" s="67">
        <v>0.0</v>
      </c>
      <c r="CL52" s="78"/>
      <c r="CM52" s="70"/>
      <c r="CN52" s="72"/>
      <c r="CO52" s="73" t="s">
        <v>72</v>
      </c>
      <c r="CP52" s="74"/>
      <c r="CQ52" s="74"/>
      <c r="CR52" s="21" t="s">
        <v>74</v>
      </c>
      <c r="CS52" s="21"/>
      <c r="CT52" s="21"/>
      <c r="CU52" s="103">
        <v>0.0</v>
      </c>
      <c r="CV52" s="75"/>
      <c r="CW52" s="76"/>
    </row>
    <row r="53">
      <c r="A53" s="50"/>
      <c r="B53" s="59">
        <v>46.0</v>
      </c>
      <c r="C53" s="59" t="s">
        <v>71</v>
      </c>
      <c r="D53" s="60">
        <v>46196.0</v>
      </c>
      <c r="E53" s="61" t="s">
        <v>75</v>
      </c>
      <c r="F53" s="77"/>
      <c r="G53" s="77"/>
      <c r="H53" s="63" t="s">
        <v>73</v>
      </c>
      <c r="I53" s="33"/>
      <c r="J53" s="33"/>
      <c r="K53" s="52"/>
      <c r="L53" s="64"/>
      <c r="M53" s="65" t="s">
        <v>75</v>
      </c>
      <c r="N53" s="77"/>
      <c r="O53" s="77"/>
      <c r="P53" s="66" t="s">
        <v>73</v>
      </c>
      <c r="Q53" s="54"/>
      <c r="R53" s="54"/>
      <c r="S53" s="67">
        <v>0.0</v>
      </c>
      <c r="T53" s="78"/>
      <c r="U53" s="70"/>
      <c r="V53" s="64"/>
      <c r="W53" s="65" t="s">
        <v>75</v>
      </c>
      <c r="X53" s="77"/>
      <c r="Y53" s="77"/>
      <c r="Z53" s="66" t="s">
        <v>73</v>
      </c>
      <c r="AA53" s="54"/>
      <c r="AB53" s="54"/>
      <c r="AC53" s="67">
        <v>0.0</v>
      </c>
      <c r="AD53" s="78"/>
      <c r="AE53" s="70"/>
      <c r="AF53" s="64"/>
      <c r="AG53" s="65" t="s">
        <v>75</v>
      </c>
      <c r="AH53" s="77"/>
      <c r="AI53" s="77"/>
      <c r="AJ53" s="66" t="s">
        <v>73</v>
      </c>
      <c r="AK53" s="54"/>
      <c r="AL53" s="54"/>
      <c r="AM53" s="67">
        <v>0.0</v>
      </c>
      <c r="AN53" s="78"/>
      <c r="AO53" s="70"/>
      <c r="AP53" s="64"/>
      <c r="AQ53" s="65" t="s">
        <v>75</v>
      </c>
      <c r="AR53" s="77"/>
      <c r="AS53" s="77"/>
      <c r="AT53" s="66" t="s">
        <v>73</v>
      </c>
      <c r="AU53" s="54"/>
      <c r="AV53" s="54"/>
      <c r="AW53" s="67">
        <v>0.0</v>
      </c>
      <c r="AX53" s="78"/>
      <c r="AY53" s="70"/>
      <c r="AZ53" s="64"/>
      <c r="BA53" s="65" t="s">
        <v>75</v>
      </c>
      <c r="BB53" s="77"/>
      <c r="BC53" s="77"/>
      <c r="BD53" s="66" t="s">
        <v>73</v>
      </c>
      <c r="BE53" s="54"/>
      <c r="BF53" s="54"/>
      <c r="BG53" s="67">
        <v>0.0</v>
      </c>
      <c r="BH53" s="78"/>
      <c r="BI53" s="70"/>
      <c r="BJ53" s="64"/>
      <c r="BK53" s="65" t="s">
        <v>75</v>
      </c>
      <c r="BL53" s="62">
        <v>2.0</v>
      </c>
      <c r="BM53" s="62">
        <v>1.0</v>
      </c>
      <c r="BN53" s="66" t="s">
        <v>73</v>
      </c>
      <c r="BO53" s="54"/>
      <c r="BP53" s="54"/>
      <c r="BQ53" s="67">
        <v>0.0</v>
      </c>
      <c r="BR53" s="78"/>
      <c r="BS53" s="70"/>
      <c r="BT53" s="64"/>
      <c r="BU53" s="65" t="s">
        <v>75</v>
      </c>
      <c r="BV53" s="62"/>
      <c r="BW53" s="62"/>
      <c r="BX53" s="66" t="s">
        <v>73</v>
      </c>
      <c r="BY53" s="54"/>
      <c r="BZ53" s="54"/>
      <c r="CA53" s="67">
        <v>0.0</v>
      </c>
      <c r="CB53" s="78"/>
      <c r="CC53" s="70"/>
      <c r="CD53" s="64"/>
      <c r="CE53" s="65" t="s">
        <v>75</v>
      </c>
      <c r="CF53" s="62">
        <v>1.0</v>
      </c>
      <c r="CG53" s="62">
        <v>0.0</v>
      </c>
      <c r="CH53" s="66" t="s">
        <v>73</v>
      </c>
      <c r="CI53" s="54"/>
      <c r="CJ53" s="54"/>
      <c r="CK53" s="67">
        <v>0.0</v>
      </c>
      <c r="CL53" s="78"/>
      <c r="CM53" s="70"/>
      <c r="CN53" s="72"/>
      <c r="CO53" s="73" t="s">
        <v>75</v>
      </c>
      <c r="CP53" s="74"/>
      <c r="CQ53" s="74"/>
      <c r="CR53" s="21" t="s">
        <v>73</v>
      </c>
      <c r="CS53" s="21"/>
      <c r="CT53" s="21"/>
      <c r="CU53" s="103">
        <v>0.0</v>
      </c>
      <c r="CV53" s="75"/>
      <c r="CW53" s="76"/>
    </row>
    <row r="54">
      <c r="A54" s="50"/>
      <c r="B54" s="59">
        <v>47.0</v>
      </c>
      <c r="C54" s="59" t="s">
        <v>76</v>
      </c>
      <c r="D54" s="60">
        <v>46196.0</v>
      </c>
      <c r="E54" s="61" t="s">
        <v>77</v>
      </c>
      <c r="F54" s="77"/>
      <c r="G54" s="77"/>
      <c r="H54" s="63" t="s">
        <v>79</v>
      </c>
      <c r="I54" s="33"/>
      <c r="J54" s="33"/>
      <c r="K54" s="52"/>
      <c r="L54" s="64"/>
      <c r="M54" s="65" t="s">
        <v>77</v>
      </c>
      <c r="N54" s="77"/>
      <c r="O54" s="77"/>
      <c r="P54" s="66" t="s">
        <v>79</v>
      </c>
      <c r="Q54" s="54"/>
      <c r="R54" s="54"/>
      <c r="S54" s="67">
        <v>0.0</v>
      </c>
      <c r="T54" s="78"/>
      <c r="U54" s="70"/>
      <c r="V54" s="64"/>
      <c r="W54" s="65" t="s">
        <v>77</v>
      </c>
      <c r="X54" s="77"/>
      <c r="Y54" s="77"/>
      <c r="Z54" s="66" t="s">
        <v>79</v>
      </c>
      <c r="AA54" s="54"/>
      <c r="AB54" s="54"/>
      <c r="AC54" s="67">
        <v>0.0</v>
      </c>
      <c r="AD54" s="78"/>
      <c r="AE54" s="70"/>
      <c r="AF54" s="64"/>
      <c r="AG54" s="65" t="s">
        <v>77</v>
      </c>
      <c r="AH54" s="77"/>
      <c r="AI54" s="77"/>
      <c r="AJ54" s="66" t="s">
        <v>79</v>
      </c>
      <c r="AK54" s="54"/>
      <c r="AL54" s="54"/>
      <c r="AM54" s="67">
        <v>0.0</v>
      </c>
      <c r="AN54" s="78"/>
      <c r="AO54" s="70"/>
      <c r="AP54" s="64"/>
      <c r="AQ54" s="65" t="s">
        <v>77</v>
      </c>
      <c r="AR54" s="77"/>
      <c r="AS54" s="77"/>
      <c r="AT54" s="66" t="s">
        <v>79</v>
      </c>
      <c r="AU54" s="54"/>
      <c r="AV54" s="54"/>
      <c r="AW54" s="67">
        <v>0.0</v>
      </c>
      <c r="AX54" s="78"/>
      <c r="AY54" s="70"/>
      <c r="AZ54" s="64"/>
      <c r="BA54" s="65" t="s">
        <v>77</v>
      </c>
      <c r="BB54" s="77"/>
      <c r="BC54" s="77"/>
      <c r="BD54" s="66" t="s">
        <v>79</v>
      </c>
      <c r="BE54" s="54"/>
      <c r="BF54" s="54"/>
      <c r="BG54" s="67">
        <v>0.0</v>
      </c>
      <c r="BH54" s="78"/>
      <c r="BI54" s="70"/>
      <c r="BJ54" s="64"/>
      <c r="BK54" s="65" t="s">
        <v>77</v>
      </c>
      <c r="BL54" s="62">
        <v>1.0</v>
      </c>
      <c r="BM54" s="62">
        <v>0.0</v>
      </c>
      <c r="BN54" s="66" t="s">
        <v>79</v>
      </c>
      <c r="BO54" s="54"/>
      <c r="BP54" s="54"/>
      <c r="BQ54" s="67">
        <v>0.0</v>
      </c>
      <c r="BR54" s="78"/>
      <c r="BS54" s="70"/>
      <c r="BT54" s="64"/>
      <c r="BU54" s="65" t="s">
        <v>77</v>
      </c>
      <c r="BV54" s="62"/>
      <c r="BW54" s="62"/>
      <c r="BX54" s="66" t="s">
        <v>79</v>
      </c>
      <c r="BY54" s="54"/>
      <c r="BZ54" s="54"/>
      <c r="CA54" s="67">
        <v>0.0</v>
      </c>
      <c r="CB54" s="78"/>
      <c r="CC54" s="70"/>
      <c r="CD54" s="64"/>
      <c r="CE54" s="65" t="s">
        <v>77</v>
      </c>
      <c r="CF54" s="62">
        <v>1.0</v>
      </c>
      <c r="CG54" s="62">
        <v>0.0</v>
      </c>
      <c r="CH54" s="66" t="s">
        <v>79</v>
      </c>
      <c r="CI54" s="54"/>
      <c r="CJ54" s="54"/>
      <c r="CK54" s="67">
        <v>0.0</v>
      </c>
      <c r="CL54" s="78"/>
      <c r="CM54" s="70"/>
      <c r="CN54" s="72"/>
      <c r="CO54" s="73" t="s">
        <v>77</v>
      </c>
      <c r="CP54" s="74"/>
      <c r="CQ54" s="74"/>
      <c r="CR54" s="21" t="s">
        <v>79</v>
      </c>
      <c r="CS54" s="21"/>
      <c r="CT54" s="21"/>
      <c r="CU54" s="103">
        <v>0.0</v>
      </c>
      <c r="CV54" s="75"/>
      <c r="CW54" s="76"/>
    </row>
    <row r="55">
      <c r="A55" s="79"/>
      <c r="B55" s="80">
        <v>48.0</v>
      </c>
      <c r="C55" s="80" t="s">
        <v>76</v>
      </c>
      <c r="D55" s="81">
        <v>46196.0</v>
      </c>
      <c r="E55" s="82" t="s">
        <v>80</v>
      </c>
      <c r="F55" s="77"/>
      <c r="G55" s="77"/>
      <c r="H55" s="83" t="s">
        <v>78</v>
      </c>
      <c r="I55" s="84"/>
      <c r="J55" s="84"/>
      <c r="K55" s="85"/>
      <c r="L55" s="86"/>
      <c r="M55" s="87" t="s">
        <v>80</v>
      </c>
      <c r="N55" s="77"/>
      <c r="O55" s="77"/>
      <c r="P55" s="88" t="s">
        <v>78</v>
      </c>
      <c r="Q55" s="89"/>
      <c r="R55" s="89"/>
      <c r="S55" s="90">
        <v>0.0</v>
      </c>
      <c r="T55" s="91"/>
      <c r="U55" s="92"/>
      <c r="V55" s="86"/>
      <c r="W55" s="87" t="s">
        <v>80</v>
      </c>
      <c r="X55" s="77"/>
      <c r="Y55" s="77"/>
      <c r="Z55" s="88" t="s">
        <v>78</v>
      </c>
      <c r="AA55" s="89"/>
      <c r="AB55" s="89"/>
      <c r="AC55" s="90">
        <v>0.0</v>
      </c>
      <c r="AD55" s="91"/>
      <c r="AE55" s="92"/>
      <c r="AF55" s="86"/>
      <c r="AG55" s="87" t="s">
        <v>80</v>
      </c>
      <c r="AH55" s="77"/>
      <c r="AI55" s="77"/>
      <c r="AJ55" s="88" t="s">
        <v>78</v>
      </c>
      <c r="AK55" s="89"/>
      <c r="AL55" s="89"/>
      <c r="AM55" s="90">
        <v>0.0</v>
      </c>
      <c r="AN55" s="91"/>
      <c r="AO55" s="92"/>
      <c r="AP55" s="86"/>
      <c r="AQ55" s="87" t="s">
        <v>80</v>
      </c>
      <c r="AR55" s="77"/>
      <c r="AS55" s="77"/>
      <c r="AT55" s="88" t="s">
        <v>78</v>
      </c>
      <c r="AU55" s="89"/>
      <c r="AV55" s="89"/>
      <c r="AW55" s="90">
        <v>0.0</v>
      </c>
      <c r="AX55" s="91"/>
      <c r="AY55" s="92"/>
      <c r="AZ55" s="86"/>
      <c r="BA55" s="87" t="s">
        <v>80</v>
      </c>
      <c r="BB55" s="77"/>
      <c r="BC55" s="77"/>
      <c r="BD55" s="88" t="s">
        <v>78</v>
      </c>
      <c r="BE55" s="89"/>
      <c r="BF55" s="89"/>
      <c r="BG55" s="90">
        <v>0.0</v>
      </c>
      <c r="BH55" s="91"/>
      <c r="BI55" s="92"/>
      <c r="BJ55" s="86"/>
      <c r="BK55" s="87" t="s">
        <v>80</v>
      </c>
      <c r="BL55" s="62">
        <v>1.0</v>
      </c>
      <c r="BM55" s="62">
        <v>2.0</v>
      </c>
      <c r="BN55" s="88" t="s">
        <v>78</v>
      </c>
      <c r="BO55" s="89"/>
      <c r="BP55" s="89"/>
      <c r="BQ55" s="90">
        <v>0.0</v>
      </c>
      <c r="BR55" s="91"/>
      <c r="BS55" s="92"/>
      <c r="BT55" s="86"/>
      <c r="BU55" s="87" t="s">
        <v>80</v>
      </c>
      <c r="BV55" s="62"/>
      <c r="BW55" s="62"/>
      <c r="BX55" s="88" t="s">
        <v>78</v>
      </c>
      <c r="BY55" s="89"/>
      <c r="BZ55" s="89"/>
      <c r="CA55" s="90">
        <v>0.0</v>
      </c>
      <c r="CB55" s="91"/>
      <c r="CC55" s="92"/>
      <c r="CD55" s="86"/>
      <c r="CE55" s="87" t="s">
        <v>80</v>
      </c>
      <c r="CF55" s="62">
        <v>1.0</v>
      </c>
      <c r="CG55" s="62">
        <v>2.0</v>
      </c>
      <c r="CH55" s="88" t="s">
        <v>78</v>
      </c>
      <c r="CI55" s="89"/>
      <c r="CJ55" s="89"/>
      <c r="CK55" s="90">
        <v>0.0</v>
      </c>
      <c r="CL55" s="91"/>
      <c r="CM55" s="92"/>
      <c r="CN55" s="93"/>
      <c r="CO55" s="94" t="s">
        <v>80</v>
      </c>
      <c r="CP55" s="74"/>
      <c r="CQ55" s="74"/>
      <c r="CR55" s="95" t="s">
        <v>78</v>
      </c>
      <c r="CS55" s="95"/>
      <c r="CT55" s="95"/>
      <c r="CU55" s="104">
        <v>0.0</v>
      </c>
      <c r="CV55" s="96"/>
      <c r="CW55" s="97"/>
    </row>
    <row r="56">
      <c r="A56" s="98"/>
      <c r="B56" s="99">
        <v>49.0</v>
      </c>
      <c r="C56" s="99" t="s">
        <v>21</v>
      </c>
      <c r="D56" s="100">
        <v>46197.0</v>
      </c>
      <c r="E56" s="61" t="s">
        <v>25</v>
      </c>
      <c r="F56" s="77"/>
      <c r="G56" s="77"/>
      <c r="H56" s="63" t="s">
        <v>22</v>
      </c>
      <c r="I56" s="101"/>
      <c r="J56" s="101"/>
      <c r="K56" s="102"/>
      <c r="L56" s="64"/>
      <c r="M56" s="65" t="s">
        <v>25</v>
      </c>
      <c r="N56" s="77"/>
      <c r="O56" s="77"/>
      <c r="P56" s="66" t="s">
        <v>22</v>
      </c>
      <c r="Q56" s="54"/>
      <c r="R56" s="54"/>
      <c r="S56" s="67">
        <v>0.0</v>
      </c>
      <c r="T56" s="78"/>
      <c r="U56" s="70"/>
      <c r="V56" s="64"/>
      <c r="W56" s="65" t="s">
        <v>25</v>
      </c>
      <c r="X56" s="77"/>
      <c r="Y56" s="77"/>
      <c r="Z56" s="66" t="s">
        <v>22</v>
      </c>
      <c r="AA56" s="54"/>
      <c r="AB56" s="54"/>
      <c r="AC56" s="67">
        <v>0.0</v>
      </c>
      <c r="AD56" s="78"/>
      <c r="AE56" s="70"/>
      <c r="AF56" s="64"/>
      <c r="AG56" s="65" t="s">
        <v>25</v>
      </c>
      <c r="AH56" s="77"/>
      <c r="AI56" s="77"/>
      <c r="AJ56" s="66" t="s">
        <v>22</v>
      </c>
      <c r="AK56" s="54"/>
      <c r="AL56" s="54"/>
      <c r="AM56" s="67">
        <v>0.0</v>
      </c>
      <c r="AN56" s="78"/>
      <c r="AO56" s="70"/>
      <c r="AP56" s="64"/>
      <c r="AQ56" s="65" t="s">
        <v>25</v>
      </c>
      <c r="AR56" s="77"/>
      <c r="AS56" s="77"/>
      <c r="AT56" s="66" t="s">
        <v>22</v>
      </c>
      <c r="AU56" s="54"/>
      <c r="AV56" s="54"/>
      <c r="AW56" s="67">
        <v>0.0</v>
      </c>
      <c r="AX56" s="78"/>
      <c r="AY56" s="70"/>
      <c r="AZ56" s="64"/>
      <c r="BA56" s="65" t="s">
        <v>25</v>
      </c>
      <c r="BB56" s="77"/>
      <c r="BC56" s="77"/>
      <c r="BD56" s="66" t="s">
        <v>22</v>
      </c>
      <c r="BE56" s="54"/>
      <c r="BF56" s="54"/>
      <c r="BG56" s="67">
        <v>0.0</v>
      </c>
      <c r="BH56" s="78"/>
      <c r="BI56" s="70"/>
      <c r="BJ56" s="64"/>
      <c r="BK56" s="65" t="s">
        <v>25</v>
      </c>
      <c r="BL56" s="62">
        <v>0.0</v>
      </c>
      <c r="BM56" s="62">
        <v>1.0</v>
      </c>
      <c r="BN56" s="66" t="s">
        <v>22</v>
      </c>
      <c r="BO56" s="54"/>
      <c r="BP56" s="54"/>
      <c r="BQ56" s="67">
        <v>0.0</v>
      </c>
      <c r="BR56" s="78"/>
      <c r="BS56" s="70"/>
      <c r="BT56" s="64"/>
      <c r="BU56" s="65" t="s">
        <v>25</v>
      </c>
      <c r="BV56" s="62"/>
      <c r="BW56" s="62"/>
      <c r="BX56" s="66" t="s">
        <v>22</v>
      </c>
      <c r="BY56" s="54"/>
      <c r="BZ56" s="54"/>
      <c r="CA56" s="67">
        <v>0.0</v>
      </c>
      <c r="CB56" s="78"/>
      <c r="CC56" s="70"/>
      <c r="CD56" s="64"/>
      <c r="CE56" s="65" t="s">
        <v>25</v>
      </c>
      <c r="CF56" s="62">
        <v>1.0</v>
      </c>
      <c r="CG56" s="62">
        <v>1.0</v>
      </c>
      <c r="CH56" s="66" t="s">
        <v>22</v>
      </c>
      <c r="CI56" s="54"/>
      <c r="CJ56" s="54"/>
      <c r="CK56" s="67">
        <v>0.0</v>
      </c>
      <c r="CL56" s="78"/>
      <c r="CM56" s="70"/>
      <c r="CN56" s="72"/>
      <c r="CO56" s="73" t="s">
        <v>25</v>
      </c>
      <c r="CP56" s="74"/>
      <c r="CQ56" s="74"/>
      <c r="CR56" s="21" t="s">
        <v>22</v>
      </c>
      <c r="CS56" s="21"/>
      <c r="CT56" s="21"/>
      <c r="CU56" s="103">
        <v>0.0</v>
      </c>
      <c r="CV56" s="75"/>
      <c r="CW56" s="76"/>
    </row>
    <row r="57" ht="15.75" customHeight="1">
      <c r="A57" s="50"/>
      <c r="B57" s="59">
        <v>50.0</v>
      </c>
      <c r="C57" s="59" t="s">
        <v>21</v>
      </c>
      <c r="D57" s="60">
        <v>46197.0</v>
      </c>
      <c r="E57" s="61" t="s">
        <v>23</v>
      </c>
      <c r="F57" s="77"/>
      <c r="G57" s="77"/>
      <c r="H57" s="63" t="s">
        <v>24</v>
      </c>
      <c r="I57" s="33"/>
      <c r="J57" s="33"/>
      <c r="K57" s="52"/>
      <c r="L57" s="64"/>
      <c r="M57" s="65" t="s">
        <v>23</v>
      </c>
      <c r="N57" s="77"/>
      <c r="O57" s="77"/>
      <c r="P57" s="66" t="s">
        <v>24</v>
      </c>
      <c r="Q57" s="54"/>
      <c r="R57" s="54"/>
      <c r="S57" s="67">
        <v>0.0</v>
      </c>
      <c r="T57" s="78"/>
      <c r="U57" s="70"/>
      <c r="V57" s="64"/>
      <c r="W57" s="65" t="s">
        <v>23</v>
      </c>
      <c r="X57" s="77"/>
      <c r="Y57" s="77"/>
      <c r="Z57" s="66" t="s">
        <v>24</v>
      </c>
      <c r="AA57" s="54"/>
      <c r="AB57" s="54"/>
      <c r="AC57" s="67">
        <v>0.0</v>
      </c>
      <c r="AD57" s="78"/>
      <c r="AE57" s="70"/>
      <c r="AF57" s="64"/>
      <c r="AG57" s="65" t="s">
        <v>23</v>
      </c>
      <c r="AH57" s="77"/>
      <c r="AI57" s="77"/>
      <c r="AJ57" s="66" t="s">
        <v>24</v>
      </c>
      <c r="AK57" s="54"/>
      <c r="AL57" s="54"/>
      <c r="AM57" s="67">
        <v>0.0</v>
      </c>
      <c r="AN57" s="78"/>
      <c r="AO57" s="70"/>
      <c r="AP57" s="64"/>
      <c r="AQ57" s="65" t="s">
        <v>23</v>
      </c>
      <c r="AR57" s="77"/>
      <c r="AS57" s="77"/>
      <c r="AT57" s="66" t="s">
        <v>24</v>
      </c>
      <c r="AU57" s="54"/>
      <c r="AV57" s="54"/>
      <c r="AW57" s="67">
        <v>0.0</v>
      </c>
      <c r="AX57" s="78"/>
      <c r="AY57" s="70"/>
      <c r="AZ57" s="64"/>
      <c r="BA57" s="65" t="s">
        <v>23</v>
      </c>
      <c r="BB57" s="77"/>
      <c r="BC57" s="77"/>
      <c r="BD57" s="66" t="s">
        <v>24</v>
      </c>
      <c r="BE57" s="54"/>
      <c r="BF57" s="54"/>
      <c r="BG57" s="67">
        <v>0.0</v>
      </c>
      <c r="BH57" s="78"/>
      <c r="BI57" s="70"/>
      <c r="BJ57" s="64"/>
      <c r="BK57" s="65" t="s">
        <v>23</v>
      </c>
      <c r="BL57" s="62">
        <v>0.0</v>
      </c>
      <c r="BM57" s="62">
        <v>2.0</v>
      </c>
      <c r="BN57" s="66" t="s">
        <v>24</v>
      </c>
      <c r="BO57" s="54"/>
      <c r="BP57" s="54"/>
      <c r="BQ57" s="67">
        <v>0.0</v>
      </c>
      <c r="BR57" s="78"/>
      <c r="BS57" s="70"/>
      <c r="BT57" s="64"/>
      <c r="BU57" s="65" t="s">
        <v>23</v>
      </c>
      <c r="BV57" s="62"/>
      <c r="BW57" s="62"/>
      <c r="BX57" s="66" t="s">
        <v>24</v>
      </c>
      <c r="BY57" s="54"/>
      <c r="BZ57" s="54"/>
      <c r="CA57" s="67">
        <v>0.0</v>
      </c>
      <c r="CB57" s="78"/>
      <c r="CC57" s="70"/>
      <c r="CD57" s="64"/>
      <c r="CE57" s="65" t="s">
        <v>23</v>
      </c>
      <c r="CF57" s="62">
        <v>1.0</v>
      </c>
      <c r="CG57" s="62">
        <v>2.0</v>
      </c>
      <c r="CH57" s="66" t="s">
        <v>24</v>
      </c>
      <c r="CI57" s="54"/>
      <c r="CJ57" s="54"/>
      <c r="CK57" s="67">
        <v>0.0</v>
      </c>
      <c r="CL57" s="78"/>
      <c r="CM57" s="70"/>
      <c r="CN57" s="72"/>
      <c r="CO57" s="73" t="s">
        <v>23</v>
      </c>
      <c r="CP57" s="74"/>
      <c r="CQ57" s="74"/>
      <c r="CR57" s="21" t="s">
        <v>24</v>
      </c>
      <c r="CS57" s="21"/>
      <c r="CT57" s="21"/>
      <c r="CU57" s="103">
        <v>0.0</v>
      </c>
      <c r="CV57" s="75"/>
      <c r="CW57" s="76"/>
    </row>
    <row r="58" ht="15.75" customHeight="1">
      <c r="A58" s="50"/>
      <c r="B58" s="59">
        <v>51.0</v>
      </c>
      <c r="C58" s="59" t="s">
        <v>26</v>
      </c>
      <c r="D58" s="60">
        <v>46197.0</v>
      </c>
      <c r="E58" s="61" t="s">
        <v>40</v>
      </c>
      <c r="F58" s="77"/>
      <c r="G58" s="77"/>
      <c r="H58" s="63" t="s">
        <v>27</v>
      </c>
      <c r="I58" s="33"/>
      <c r="J58" s="33"/>
      <c r="K58" s="52"/>
      <c r="L58" s="64"/>
      <c r="M58" s="65" t="s">
        <v>40</v>
      </c>
      <c r="N58" s="77"/>
      <c r="O58" s="77"/>
      <c r="P58" s="66" t="s">
        <v>27</v>
      </c>
      <c r="Q58" s="54"/>
      <c r="R58" s="54"/>
      <c r="S58" s="67">
        <v>0.0</v>
      </c>
      <c r="T58" s="78"/>
      <c r="U58" s="70"/>
      <c r="V58" s="64"/>
      <c r="W58" s="65" t="s">
        <v>40</v>
      </c>
      <c r="X58" s="77"/>
      <c r="Y58" s="77"/>
      <c r="Z58" s="66" t="s">
        <v>27</v>
      </c>
      <c r="AA58" s="54"/>
      <c r="AB58" s="54"/>
      <c r="AC58" s="67">
        <v>0.0</v>
      </c>
      <c r="AD58" s="78"/>
      <c r="AE58" s="70"/>
      <c r="AF58" s="64"/>
      <c r="AG58" s="65" t="s">
        <v>40</v>
      </c>
      <c r="AH58" s="77"/>
      <c r="AI58" s="77"/>
      <c r="AJ58" s="66" t="s">
        <v>27</v>
      </c>
      <c r="AK58" s="54"/>
      <c r="AL58" s="54"/>
      <c r="AM58" s="67">
        <v>0.0</v>
      </c>
      <c r="AN58" s="78"/>
      <c r="AO58" s="70"/>
      <c r="AP58" s="64"/>
      <c r="AQ58" s="65" t="s">
        <v>40</v>
      </c>
      <c r="AR58" s="77"/>
      <c r="AS58" s="77"/>
      <c r="AT58" s="66" t="s">
        <v>27</v>
      </c>
      <c r="AU58" s="54"/>
      <c r="AV58" s="54"/>
      <c r="AW58" s="67">
        <v>0.0</v>
      </c>
      <c r="AX58" s="78"/>
      <c r="AY58" s="70"/>
      <c r="AZ58" s="64"/>
      <c r="BA58" s="65" t="s">
        <v>40</v>
      </c>
      <c r="BB58" s="77"/>
      <c r="BC58" s="77"/>
      <c r="BD58" s="66" t="s">
        <v>27</v>
      </c>
      <c r="BE58" s="54"/>
      <c r="BF58" s="54"/>
      <c r="BG58" s="67">
        <v>0.0</v>
      </c>
      <c r="BH58" s="78"/>
      <c r="BI58" s="70"/>
      <c r="BJ58" s="64"/>
      <c r="BK58" s="65" t="s">
        <v>40</v>
      </c>
      <c r="BL58" s="62">
        <v>2.0</v>
      </c>
      <c r="BM58" s="62">
        <v>0.0</v>
      </c>
      <c r="BN58" s="66" t="s">
        <v>27</v>
      </c>
      <c r="BO58" s="54"/>
      <c r="BP58" s="54"/>
      <c r="BQ58" s="67">
        <v>0.0</v>
      </c>
      <c r="BR58" s="78"/>
      <c r="BS58" s="70"/>
      <c r="BT58" s="64"/>
      <c r="BU58" s="65" t="s">
        <v>40</v>
      </c>
      <c r="BV58" s="62"/>
      <c r="BW58" s="62"/>
      <c r="BX58" s="66" t="s">
        <v>27</v>
      </c>
      <c r="BY58" s="54"/>
      <c r="BZ58" s="54"/>
      <c r="CA58" s="67">
        <v>0.0</v>
      </c>
      <c r="CB58" s="78"/>
      <c r="CC58" s="70"/>
      <c r="CD58" s="64"/>
      <c r="CE58" s="65" t="s">
        <v>40</v>
      </c>
      <c r="CF58" s="62">
        <v>1.0</v>
      </c>
      <c r="CG58" s="62">
        <v>0.0</v>
      </c>
      <c r="CH58" s="66" t="s">
        <v>27</v>
      </c>
      <c r="CI58" s="54"/>
      <c r="CJ58" s="54"/>
      <c r="CK58" s="67">
        <v>0.0</v>
      </c>
      <c r="CL58" s="78"/>
      <c r="CM58" s="70"/>
      <c r="CN58" s="72"/>
      <c r="CO58" s="73" t="s">
        <v>40</v>
      </c>
      <c r="CP58" s="74"/>
      <c r="CQ58" s="74"/>
      <c r="CR58" s="21" t="s">
        <v>27</v>
      </c>
      <c r="CS58" s="21"/>
      <c r="CT58" s="21"/>
      <c r="CU58" s="103">
        <v>0.0</v>
      </c>
      <c r="CV58" s="75"/>
      <c r="CW58" s="76"/>
    </row>
    <row r="59" ht="15.75" customHeight="1">
      <c r="A59" s="50"/>
      <c r="B59" s="59">
        <v>52.0</v>
      </c>
      <c r="C59" s="59" t="s">
        <v>26</v>
      </c>
      <c r="D59" s="60">
        <v>46197.0</v>
      </c>
      <c r="E59" s="61" t="s">
        <v>28</v>
      </c>
      <c r="F59" s="77"/>
      <c r="G59" s="77"/>
      <c r="H59" s="63" t="s">
        <v>39</v>
      </c>
      <c r="I59" s="33"/>
      <c r="J59" s="33"/>
      <c r="K59" s="52"/>
      <c r="L59" s="64"/>
      <c r="M59" s="65" t="s">
        <v>28</v>
      </c>
      <c r="N59" s="77"/>
      <c r="O59" s="77"/>
      <c r="P59" s="66" t="s">
        <v>39</v>
      </c>
      <c r="Q59" s="54"/>
      <c r="R59" s="54"/>
      <c r="S59" s="67">
        <v>0.0</v>
      </c>
      <c r="T59" s="78"/>
      <c r="U59" s="70"/>
      <c r="V59" s="64"/>
      <c r="W59" s="65" t="s">
        <v>28</v>
      </c>
      <c r="X59" s="77"/>
      <c r="Y59" s="77"/>
      <c r="Z59" s="66" t="s">
        <v>39</v>
      </c>
      <c r="AA59" s="54"/>
      <c r="AB59" s="54"/>
      <c r="AC59" s="67">
        <v>0.0</v>
      </c>
      <c r="AD59" s="78"/>
      <c r="AE59" s="70"/>
      <c r="AF59" s="64"/>
      <c r="AG59" s="65" t="s">
        <v>28</v>
      </c>
      <c r="AH59" s="77"/>
      <c r="AI59" s="77"/>
      <c r="AJ59" s="66" t="s">
        <v>39</v>
      </c>
      <c r="AK59" s="54"/>
      <c r="AL59" s="54"/>
      <c r="AM59" s="67">
        <v>0.0</v>
      </c>
      <c r="AN59" s="78"/>
      <c r="AO59" s="70"/>
      <c r="AP59" s="64"/>
      <c r="AQ59" s="65" t="s">
        <v>28</v>
      </c>
      <c r="AR59" s="77"/>
      <c r="AS59" s="77"/>
      <c r="AT59" s="66" t="s">
        <v>39</v>
      </c>
      <c r="AU59" s="54"/>
      <c r="AV59" s="54"/>
      <c r="AW59" s="67">
        <v>0.0</v>
      </c>
      <c r="AX59" s="78"/>
      <c r="AY59" s="70"/>
      <c r="AZ59" s="64"/>
      <c r="BA59" s="65" t="s">
        <v>28</v>
      </c>
      <c r="BB59" s="77"/>
      <c r="BC59" s="77"/>
      <c r="BD59" s="66" t="s">
        <v>39</v>
      </c>
      <c r="BE59" s="54"/>
      <c r="BF59" s="54"/>
      <c r="BG59" s="67">
        <v>0.0</v>
      </c>
      <c r="BH59" s="78"/>
      <c r="BI59" s="70"/>
      <c r="BJ59" s="64"/>
      <c r="BK59" s="65" t="s">
        <v>28</v>
      </c>
      <c r="BL59" s="62">
        <v>0.0</v>
      </c>
      <c r="BM59" s="62">
        <v>1.0</v>
      </c>
      <c r="BN59" s="66" t="s">
        <v>39</v>
      </c>
      <c r="BO59" s="54"/>
      <c r="BP59" s="54"/>
      <c r="BQ59" s="67">
        <v>0.0</v>
      </c>
      <c r="BR59" s="78"/>
      <c r="BS59" s="70"/>
      <c r="BT59" s="64"/>
      <c r="BU59" s="65" t="s">
        <v>28</v>
      </c>
      <c r="BV59" s="62"/>
      <c r="BW59" s="62"/>
      <c r="BX59" s="66" t="s">
        <v>39</v>
      </c>
      <c r="BY59" s="54"/>
      <c r="BZ59" s="54"/>
      <c r="CA59" s="67">
        <v>0.0</v>
      </c>
      <c r="CB59" s="78"/>
      <c r="CC59" s="70"/>
      <c r="CD59" s="64"/>
      <c r="CE59" s="65" t="s">
        <v>28</v>
      </c>
      <c r="CF59" s="62">
        <v>2.0</v>
      </c>
      <c r="CG59" s="62">
        <v>0.0</v>
      </c>
      <c r="CH59" s="66" t="s">
        <v>39</v>
      </c>
      <c r="CI59" s="54"/>
      <c r="CJ59" s="54"/>
      <c r="CK59" s="67">
        <v>0.0</v>
      </c>
      <c r="CL59" s="78"/>
      <c r="CM59" s="70"/>
      <c r="CN59" s="72"/>
      <c r="CO59" s="73" t="s">
        <v>28</v>
      </c>
      <c r="CP59" s="74"/>
      <c r="CQ59" s="74"/>
      <c r="CR59" s="21" t="s">
        <v>39</v>
      </c>
      <c r="CS59" s="21"/>
      <c r="CT59" s="21"/>
      <c r="CU59" s="103">
        <v>0.0</v>
      </c>
      <c r="CV59" s="75"/>
      <c r="CW59" s="76"/>
    </row>
    <row r="60" ht="15.75" customHeight="1">
      <c r="A60" s="50"/>
      <c r="B60" s="59">
        <v>53.0</v>
      </c>
      <c r="C60" s="59" t="s">
        <v>32</v>
      </c>
      <c r="D60" s="60">
        <v>46197.0</v>
      </c>
      <c r="E60" s="61" t="s">
        <v>34</v>
      </c>
      <c r="F60" s="77"/>
      <c r="G60" s="77"/>
      <c r="H60" s="63" t="s">
        <v>37</v>
      </c>
      <c r="I60" s="33"/>
      <c r="J60" s="33"/>
      <c r="K60" s="52"/>
      <c r="L60" s="64"/>
      <c r="M60" s="65" t="s">
        <v>34</v>
      </c>
      <c r="N60" s="77"/>
      <c r="O60" s="77"/>
      <c r="P60" s="66" t="s">
        <v>37</v>
      </c>
      <c r="Q60" s="54"/>
      <c r="R60" s="54"/>
      <c r="S60" s="67">
        <v>0.0</v>
      </c>
      <c r="T60" s="78"/>
      <c r="U60" s="70"/>
      <c r="V60" s="64"/>
      <c r="W60" s="65" t="s">
        <v>34</v>
      </c>
      <c r="X60" s="77"/>
      <c r="Y60" s="77"/>
      <c r="Z60" s="66" t="s">
        <v>37</v>
      </c>
      <c r="AA60" s="54"/>
      <c r="AB60" s="54"/>
      <c r="AC60" s="67">
        <v>0.0</v>
      </c>
      <c r="AD60" s="78"/>
      <c r="AE60" s="70"/>
      <c r="AF60" s="64"/>
      <c r="AG60" s="65" t="s">
        <v>34</v>
      </c>
      <c r="AH60" s="77"/>
      <c r="AI60" s="77"/>
      <c r="AJ60" s="66" t="s">
        <v>37</v>
      </c>
      <c r="AK60" s="54"/>
      <c r="AL60" s="54"/>
      <c r="AM60" s="67">
        <v>0.0</v>
      </c>
      <c r="AN60" s="78"/>
      <c r="AO60" s="70"/>
      <c r="AP60" s="64"/>
      <c r="AQ60" s="65" t="s">
        <v>34</v>
      </c>
      <c r="AR60" s="77"/>
      <c r="AS60" s="77"/>
      <c r="AT60" s="66" t="s">
        <v>37</v>
      </c>
      <c r="AU60" s="54"/>
      <c r="AV60" s="54"/>
      <c r="AW60" s="67">
        <v>0.0</v>
      </c>
      <c r="AX60" s="78"/>
      <c r="AY60" s="70"/>
      <c r="AZ60" s="64"/>
      <c r="BA60" s="65" t="s">
        <v>34</v>
      </c>
      <c r="BB60" s="77"/>
      <c r="BC60" s="77"/>
      <c r="BD60" s="66" t="s">
        <v>37</v>
      </c>
      <c r="BE60" s="54"/>
      <c r="BF60" s="54"/>
      <c r="BG60" s="67">
        <v>0.0</v>
      </c>
      <c r="BH60" s="78"/>
      <c r="BI60" s="70"/>
      <c r="BJ60" s="64"/>
      <c r="BK60" s="65" t="s">
        <v>34</v>
      </c>
      <c r="BL60" s="62">
        <v>2.0</v>
      </c>
      <c r="BM60" s="62">
        <v>3.0</v>
      </c>
      <c r="BN60" s="66" t="s">
        <v>37</v>
      </c>
      <c r="BO60" s="54"/>
      <c r="BP60" s="54"/>
      <c r="BQ60" s="67">
        <v>0.0</v>
      </c>
      <c r="BR60" s="78"/>
      <c r="BS60" s="70"/>
      <c r="BT60" s="64"/>
      <c r="BU60" s="65" t="s">
        <v>34</v>
      </c>
      <c r="BV60" s="62"/>
      <c r="BW60" s="62"/>
      <c r="BX60" s="66" t="s">
        <v>37</v>
      </c>
      <c r="BY60" s="54"/>
      <c r="BZ60" s="54"/>
      <c r="CA60" s="67">
        <v>0.0</v>
      </c>
      <c r="CB60" s="78"/>
      <c r="CC60" s="70"/>
      <c r="CD60" s="64"/>
      <c r="CE60" s="65" t="s">
        <v>34</v>
      </c>
      <c r="CF60" s="62">
        <v>2.0</v>
      </c>
      <c r="CG60" s="62">
        <v>1.0</v>
      </c>
      <c r="CH60" s="66" t="s">
        <v>37</v>
      </c>
      <c r="CI60" s="54"/>
      <c r="CJ60" s="54"/>
      <c r="CK60" s="67">
        <v>0.0</v>
      </c>
      <c r="CL60" s="78"/>
      <c r="CM60" s="70"/>
      <c r="CN60" s="72"/>
      <c r="CO60" s="73" t="s">
        <v>34</v>
      </c>
      <c r="CP60" s="74"/>
      <c r="CQ60" s="74"/>
      <c r="CR60" s="21" t="s">
        <v>37</v>
      </c>
      <c r="CS60" s="21"/>
      <c r="CT60" s="21"/>
      <c r="CU60" s="103">
        <v>0.0</v>
      </c>
      <c r="CV60" s="75"/>
      <c r="CW60" s="76"/>
    </row>
    <row r="61" ht="15.75" customHeight="1">
      <c r="A61" s="50"/>
      <c r="B61" s="59">
        <v>54.0</v>
      </c>
      <c r="C61" s="59" t="s">
        <v>32</v>
      </c>
      <c r="D61" s="60">
        <v>46197.0</v>
      </c>
      <c r="E61" s="61" t="s">
        <v>38</v>
      </c>
      <c r="F61" s="77"/>
      <c r="G61" s="77"/>
      <c r="H61" s="63" t="s">
        <v>33</v>
      </c>
      <c r="I61" s="33"/>
      <c r="J61" s="33"/>
      <c r="K61" s="52"/>
      <c r="L61" s="64"/>
      <c r="M61" s="65" t="s">
        <v>38</v>
      </c>
      <c r="N61" s="77"/>
      <c r="O61" s="77"/>
      <c r="P61" s="66" t="s">
        <v>33</v>
      </c>
      <c r="Q61" s="54"/>
      <c r="R61" s="54"/>
      <c r="S61" s="67">
        <v>0.0</v>
      </c>
      <c r="T61" s="78"/>
      <c r="U61" s="70"/>
      <c r="V61" s="64"/>
      <c r="W61" s="65" t="s">
        <v>38</v>
      </c>
      <c r="X61" s="77"/>
      <c r="Y61" s="77"/>
      <c r="Z61" s="66" t="s">
        <v>33</v>
      </c>
      <c r="AA61" s="54"/>
      <c r="AB61" s="54"/>
      <c r="AC61" s="67">
        <v>0.0</v>
      </c>
      <c r="AD61" s="78"/>
      <c r="AE61" s="70"/>
      <c r="AF61" s="64"/>
      <c r="AG61" s="65" t="s">
        <v>38</v>
      </c>
      <c r="AH61" s="77"/>
      <c r="AI61" s="77"/>
      <c r="AJ61" s="66" t="s">
        <v>33</v>
      </c>
      <c r="AK61" s="54"/>
      <c r="AL61" s="54"/>
      <c r="AM61" s="67">
        <v>0.0</v>
      </c>
      <c r="AN61" s="78"/>
      <c r="AO61" s="70"/>
      <c r="AP61" s="64"/>
      <c r="AQ61" s="65" t="s">
        <v>38</v>
      </c>
      <c r="AR61" s="77"/>
      <c r="AS61" s="77"/>
      <c r="AT61" s="66" t="s">
        <v>33</v>
      </c>
      <c r="AU61" s="54"/>
      <c r="AV61" s="54"/>
      <c r="AW61" s="67">
        <v>0.0</v>
      </c>
      <c r="AX61" s="78"/>
      <c r="AY61" s="70"/>
      <c r="AZ61" s="64"/>
      <c r="BA61" s="65" t="s">
        <v>38</v>
      </c>
      <c r="BB61" s="77"/>
      <c r="BC61" s="77"/>
      <c r="BD61" s="66" t="s">
        <v>33</v>
      </c>
      <c r="BE61" s="54"/>
      <c r="BF61" s="54"/>
      <c r="BG61" s="67">
        <v>0.0</v>
      </c>
      <c r="BH61" s="78"/>
      <c r="BI61" s="70"/>
      <c r="BJ61" s="64"/>
      <c r="BK61" s="65" t="s">
        <v>38</v>
      </c>
      <c r="BL61" s="62">
        <v>2.0</v>
      </c>
      <c r="BM61" s="62">
        <v>0.0</v>
      </c>
      <c r="BN61" s="66" t="s">
        <v>33</v>
      </c>
      <c r="BO61" s="54"/>
      <c r="BP61" s="54"/>
      <c r="BQ61" s="67">
        <v>0.0</v>
      </c>
      <c r="BR61" s="78"/>
      <c r="BS61" s="70"/>
      <c r="BT61" s="64"/>
      <c r="BU61" s="65" t="s">
        <v>38</v>
      </c>
      <c r="BV61" s="62"/>
      <c r="BW61" s="62"/>
      <c r="BX61" s="66" t="s">
        <v>33</v>
      </c>
      <c r="BY61" s="54"/>
      <c r="BZ61" s="54"/>
      <c r="CA61" s="67">
        <v>0.0</v>
      </c>
      <c r="CB61" s="78"/>
      <c r="CC61" s="70"/>
      <c r="CD61" s="64"/>
      <c r="CE61" s="65" t="s">
        <v>38</v>
      </c>
      <c r="CF61" s="62">
        <v>1.0</v>
      </c>
      <c r="CG61" s="62">
        <v>2.0</v>
      </c>
      <c r="CH61" s="66" t="s">
        <v>33</v>
      </c>
      <c r="CI61" s="54"/>
      <c r="CJ61" s="54"/>
      <c r="CK61" s="67">
        <v>0.0</v>
      </c>
      <c r="CL61" s="78"/>
      <c r="CM61" s="70"/>
      <c r="CN61" s="72"/>
      <c r="CO61" s="73" t="s">
        <v>38</v>
      </c>
      <c r="CP61" s="74"/>
      <c r="CQ61" s="74"/>
      <c r="CR61" s="21" t="s">
        <v>33</v>
      </c>
      <c r="CS61" s="21"/>
      <c r="CT61" s="21"/>
      <c r="CU61" s="103">
        <v>0.0</v>
      </c>
      <c r="CV61" s="75"/>
      <c r="CW61" s="76"/>
    </row>
    <row r="62" ht="15.75" customHeight="1">
      <c r="A62" s="50"/>
      <c r="B62" s="59">
        <v>55.0</v>
      </c>
      <c r="C62" s="59" t="s">
        <v>29</v>
      </c>
      <c r="D62" s="60">
        <v>46198.0</v>
      </c>
      <c r="E62" s="61" t="s">
        <v>36</v>
      </c>
      <c r="F62" s="77"/>
      <c r="G62" s="77"/>
      <c r="H62" s="63" t="s">
        <v>30</v>
      </c>
      <c r="I62" s="33"/>
      <c r="J62" s="33"/>
      <c r="K62" s="52"/>
      <c r="L62" s="64"/>
      <c r="M62" s="65" t="s">
        <v>36</v>
      </c>
      <c r="N62" s="77"/>
      <c r="O62" s="77"/>
      <c r="P62" s="66" t="s">
        <v>30</v>
      </c>
      <c r="Q62" s="54"/>
      <c r="R62" s="54"/>
      <c r="S62" s="67">
        <v>0.0</v>
      </c>
      <c r="T62" s="78"/>
      <c r="U62" s="70"/>
      <c r="V62" s="64"/>
      <c r="W62" s="65" t="s">
        <v>36</v>
      </c>
      <c r="X62" s="77"/>
      <c r="Y62" s="77"/>
      <c r="Z62" s="66" t="s">
        <v>30</v>
      </c>
      <c r="AA62" s="54"/>
      <c r="AB62" s="54"/>
      <c r="AC62" s="67">
        <v>0.0</v>
      </c>
      <c r="AD62" s="78"/>
      <c r="AE62" s="70"/>
      <c r="AF62" s="64"/>
      <c r="AG62" s="65" t="s">
        <v>36</v>
      </c>
      <c r="AH62" s="77"/>
      <c r="AI62" s="77"/>
      <c r="AJ62" s="66" t="s">
        <v>30</v>
      </c>
      <c r="AK62" s="54"/>
      <c r="AL62" s="54"/>
      <c r="AM62" s="67">
        <v>0.0</v>
      </c>
      <c r="AN62" s="78"/>
      <c r="AO62" s="70"/>
      <c r="AP62" s="64"/>
      <c r="AQ62" s="65" t="s">
        <v>36</v>
      </c>
      <c r="AR62" s="77"/>
      <c r="AS62" s="77"/>
      <c r="AT62" s="66" t="s">
        <v>30</v>
      </c>
      <c r="AU62" s="54"/>
      <c r="AV62" s="54"/>
      <c r="AW62" s="67">
        <v>0.0</v>
      </c>
      <c r="AX62" s="78"/>
      <c r="AY62" s="70"/>
      <c r="AZ62" s="64"/>
      <c r="BA62" s="65" t="s">
        <v>36</v>
      </c>
      <c r="BB62" s="77"/>
      <c r="BC62" s="77"/>
      <c r="BD62" s="66" t="s">
        <v>30</v>
      </c>
      <c r="BE62" s="54"/>
      <c r="BF62" s="54"/>
      <c r="BG62" s="67">
        <v>0.0</v>
      </c>
      <c r="BH62" s="78"/>
      <c r="BI62" s="70"/>
      <c r="BJ62" s="64"/>
      <c r="BK62" s="65" t="s">
        <v>36</v>
      </c>
      <c r="BL62" s="62">
        <v>1.0</v>
      </c>
      <c r="BM62" s="62">
        <v>0.0</v>
      </c>
      <c r="BN62" s="66" t="s">
        <v>30</v>
      </c>
      <c r="BO62" s="54"/>
      <c r="BP62" s="54"/>
      <c r="BQ62" s="67">
        <v>0.0</v>
      </c>
      <c r="BR62" s="78"/>
      <c r="BS62" s="70"/>
      <c r="BT62" s="64"/>
      <c r="BU62" s="65" t="s">
        <v>36</v>
      </c>
      <c r="BV62" s="62"/>
      <c r="BW62" s="62"/>
      <c r="BX62" s="66" t="s">
        <v>30</v>
      </c>
      <c r="BY62" s="54"/>
      <c r="BZ62" s="54"/>
      <c r="CA62" s="67">
        <v>0.0</v>
      </c>
      <c r="CB62" s="78"/>
      <c r="CC62" s="70"/>
      <c r="CD62" s="64"/>
      <c r="CE62" s="65" t="s">
        <v>36</v>
      </c>
      <c r="CF62" s="62">
        <v>1.0</v>
      </c>
      <c r="CG62" s="62">
        <v>0.0</v>
      </c>
      <c r="CH62" s="66" t="s">
        <v>30</v>
      </c>
      <c r="CI62" s="54"/>
      <c r="CJ62" s="54"/>
      <c r="CK62" s="67">
        <v>0.0</v>
      </c>
      <c r="CL62" s="78"/>
      <c r="CM62" s="70"/>
      <c r="CN62" s="72"/>
      <c r="CO62" s="73" t="s">
        <v>36</v>
      </c>
      <c r="CP62" s="74"/>
      <c r="CQ62" s="74"/>
      <c r="CR62" s="21" t="s">
        <v>30</v>
      </c>
      <c r="CS62" s="21"/>
      <c r="CT62" s="21"/>
      <c r="CU62" s="103">
        <v>0.0</v>
      </c>
      <c r="CV62" s="75"/>
      <c r="CW62" s="76"/>
    </row>
    <row r="63" ht="15.75" customHeight="1">
      <c r="A63" s="50"/>
      <c r="B63" s="59">
        <v>56.0</v>
      </c>
      <c r="C63" s="59" t="s">
        <v>29</v>
      </c>
      <c r="D63" s="60">
        <v>46198.0</v>
      </c>
      <c r="E63" s="61" t="s">
        <v>31</v>
      </c>
      <c r="F63" s="77"/>
      <c r="G63" s="77"/>
      <c r="H63" s="63" t="s">
        <v>35</v>
      </c>
      <c r="I63" s="33"/>
      <c r="J63" s="33"/>
      <c r="K63" s="52"/>
      <c r="L63" s="64"/>
      <c r="M63" s="65" t="s">
        <v>31</v>
      </c>
      <c r="N63" s="77"/>
      <c r="O63" s="77"/>
      <c r="P63" s="66" t="s">
        <v>35</v>
      </c>
      <c r="Q63" s="54"/>
      <c r="R63" s="54"/>
      <c r="S63" s="67">
        <v>0.0</v>
      </c>
      <c r="T63" s="78"/>
      <c r="U63" s="70"/>
      <c r="V63" s="64"/>
      <c r="W63" s="65" t="s">
        <v>31</v>
      </c>
      <c r="X63" s="77"/>
      <c r="Y63" s="77"/>
      <c r="Z63" s="66" t="s">
        <v>35</v>
      </c>
      <c r="AA63" s="54"/>
      <c r="AB63" s="54"/>
      <c r="AC63" s="67">
        <v>0.0</v>
      </c>
      <c r="AD63" s="78"/>
      <c r="AE63" s="70"/>
      <c r="AF63" s="64"/>
      <c r="AG63" s="65" t="s">
        <v>31</v>
      </c>
      <c r="AH63" s="77"/>
      <c r="AI63" s="77"/>
      <c r="AJ63" s="66" t="s">
        <v>35</v>
      </c>
      <c r="AK63" s="54"/>
      <c r="AL63" s="54"/>
      <c r="AM63" s="67">
        <v>0.0</v>
      </c>
      <c r="AN63" s="78"/>
      <c r="AO63" s="70"/>
      <c r="AP63" s="64"/>
      <c r="AQ63" s="65" t="s">
        <v>31</v>
      </c>
      <c r="AR63" s="77"/>
      <c r="AS63" s="77"/>
      <c r="AT63" s="66" t="s">
        <v>35</v>
      </c>
      <c r="AU63" s="54"/>
      <c r="AV63" s="54"/>
      <c r="AW63" s="67">
        <v>0.0</v>
      </c>
      <c r="AX63" s="78"/>
      <c r="AY63" s="70"/>
      <c r="AZ63" s="64"/>
      <c r="BA63" s="65" t="s">
        <v>31</v>
      </c>
      <c r="BB63" s="77"/>
      <c r="BC63" s="77"/>
      <c r="BD63" s="66" t="s">
        <v>35</v>
      </c>
      <c r="BE63" s="54"/>
      <c r="BF63" s="54"/>
      <c r="BG63" s="67">
        <v>0.0</v>
      </c>
      <c r="BH63" s="78"/>
      <c r="BI63" s="70"/>
      <c r="BJ63" s="64"/>
      <c r="BK63" s="65" t="s">
        <v>31</v>
      </c>
      <c r="BL63" s="62">
        <v>2.0</v>
      </c>
      <c r="BM63" s="62">
        <v>0.0</v>
      </c>
      <c r="BN63" s="66" t="s">
        <v>35</v>
      </c>
      <c r="BO63" s="54"/>
      <c r="BP63" s="54"/>
      <c r="BQ63" s="67">
        <v>0.0</v>
      </c>
      <c r="BR63" s="78"/>
      <c r="BS63" s="70"/>
      <c r="BT63" s="64"/>
      <c r="BU63" s="65" t="s">
        <v>31</v>
      </c>
      <c r="BV63" s="62"/>
      <c r="BW63" s="62"/>
      <c r="BX63" s="66" t="s">
        <v>35</v>
      </c>
      <c r="BY63" s="54"/>
      <c r="BZ63" s="54"/>
      <c r="CA63" s="67">
        <v>0.0</v>
      </c>
      <c r="CB63" s="78"/>
      <c r="CC63" s="70"/>
      <c r="CD63" s="64"/>
      <c r="CE63" s="65" t="s">
        <v>31</v>
      </c>
      <c r="CF63" s="62">
        <v>0.0</v>
      </c>
      <c r="CG63" s="62">
        <v>1.0</v>
      </c>
      <c r="CH63" s="66" t="s">
        <v>35</v>
      </c>
      <c r="CI63" s="54"/>
      <c r="CJ63" s="54"/>
      <c r="CK63" s="67">
        <v>0.0</v>
      </c>
      <c r="CL63" s="78"/>
      <c r="CM63" s="70"/>
      <c r="CN63" s="72"/>
      <c r="CO63" s="73" t="s">
        <v>31</v>
      </c>
      <c r="CP63" s="74"/>
      <c r="CQ63" s="74"/>
      <c r="CR63" s="21" t="s">
        <v>35</v>
      </c>
      <c r="CS63" s="21"/>
      <c r="CT63" s="21"/>
      <c r="CU63" s="103">
        <v>0.0</v>
      </c>
      <c r="CV63" s="75"/>
      <c r="CW63" s="76"/>
    </row>
    <row r="64" ht="15.75" customHeight="1">
      <c r="A64" s="50"/>
      <c r="B64" s="59">
        <v>57.0</v>
      </c>
      <c r="C64" s="59" t="s">
        <v>41</v>
      </c>
      <c r="D64" s="60">
        <v>46198.0</v>
      </c>
      <c r="E64" s="61" t="s">
        <v>43</v>
      </c>
      <c r="F64" s="77"/>
      <c r="G64" s="77"/>
      <c r="H64" s="63" t="s">
        <v>44</v>
      </c>
      <c r="I64" s="33"/>
      <c r="J64" s="33"/>
      <c r="K64" s="52"/>
      <c r="L64" s="64"/>
      <c r="M64" s="65" t="s">
        <v>43</v>
      </c>
      <c r="N64" s="77"/>
      <c r="O64" s="77"/>
      <c r="P64" s="66" t="s">
        <v>44</v>
      </c>
      <c r="Q64" s="54"/>
      <c r="R64" s="54"/>
      <c r="S64" s="67">
        <v>0.0</v>
      </c>
      <c r="T64" s="78"/>
      <c r="U64" s="70"/>
      <c r="V64" s="64"/>
      <c r="W64" s="65" t="s">
        <v>43</v>
      </c>
      <c r="X64" s="77"/>
      <c r="Y64" s="77"/>
      <c r="Z64" s="66" t="s">
        <v>44</v>
      </c>
      <c r="AA64" s="54"/>
      <c r="AB64" s="54"/>
      <c r="AC64" s="67">
        <v>0.0</v>
      </c>
      <c r="AD64" s="78"/>
      <c r="AE64" s="70"/>
      <c r="AF64" s="64"/>
      <c r="AG64" s="65" t="s">
        <v>43</v>
      </c>
      <c r="AH64" s="77"/>
      <c r="AI64" s="77"/>
      <c r="AJ64" s="66" t="s">
        <v>44</v>
      </c>
      <c r="AK64" s="54"/>
      <c r="AL64" s="54"/>
      <c r="AM64" s="67">
        <v>0.0</v>
      </c>
      <c r="AN64" s="78"/>
      <c r="AO64" s="70"/>
      <c r="AP64" s="64"/>
      <c r="AQ64" s="65" t="s">
        <v>43</v>
      </c>
      <c r="AR64" s="77"/>
      <c r="AS64" s="77"/>
      <c r="AT64" s="66" t="s">
        <v>44</v>
      </c>
      <c r="AU64" s="54"/>
      <c r="AV64" s="54"/>
      <c r="AW64" s="67">
        <v>0.0</v>
      </c>
      <c r="AX64" s="78"/>
      <c r="AY64" s="70"/>
      <c r="AZ64" s="64"/>
      <c r="BA64" s="65" t="s">
        <v>43</v>
      </c>
      <c r="BB64" s="77"/>
      <c r="BC64" s="77"/>
      <c r="BD64" s="66" t="s">
        <v>44</v>
      </c>
      <c r="BE64" s="54"/>
      <c r="BF64" s="54"/>
      <c r="BG64" s="67">
        <v>0.0</v>
      </c>
      <c r="BH64" s="78"/>
      <c r="BI64" s="70"/>
      <c r="BJ64" s="64"/>
      <c r="BK64" s="65" t="s">
        <v>43</v>
      </c>
      <c r="BL64" s="62">
        <v>0.0</v>
      </c>
      <c r="BM64" s="62">
        <v>2.0</v>
      </c>
      <c r="BN64" s="66" t="s">
        <v>44</v>
      </c>
      <c r="BO64" s="54"/>
      <c r="BP64" s="54"/>
      <c r="BQ64" s="67">
        <v>0.0</v>
      </c>
      <c r="BR64" s="78"/>
      <c r="BS64" s="70"/>
      <c r="BT64" s="64"/>
      <c r="BU64" s="65" t="s">
        <v>43</v>
      </c>
      <c r="BV64" s="62"/>
      <c r="BW64" s="62"/>
      <c r="BX64" s="66" t="s">
        <v>44</v>
      </c>
      <c r="BY64" s="54"/>
      <c r="BZ64" s="54"/>
      <c r="CA64" s="67">
        <v>0.0</v>
      </c>
      <c r="CB64" s="78"/>
      <c r="CC64" s="70"/>
      <c r="CD64" s="64"/>
      <c r="CE64" s="65" t="s">
        <v>43</v>
      </c>
      <c r="CF64" s="62">
        <v>1.0</v>
      </c>
      <c r="CG64" s="62">
        <v>2.0</v>
      </c>
      <c r="CH64" s="66" t="s">
        <v>44</v>
      </c>
      <c r="CI64" s="54"/>
      <c r="CJ64" s="54"/>
      <c r="CK64" s="67">
        <v>0.0</v>
      </c>
      <c r="CL64" s="78"/>
      <c r="CM64" s="70"/>
      <c r="CN64" s="72"/>
      <c r="CO64" s="73" t="s">
        <v>43</v>
      </c>
      <c r="CP64" s="74"/>
      <c r="CQ64" s="74"/>
      <c r="CR64" s="21" t="s">
        <v>44</v>
      </c>
      <c r="CS64" s="21"/>
      <c r="CT64" s="21"/>
      <c r="CU64" s="103">
        <v>0.0</v>
      </c>
      <c r="CV64" s="75"/>
      <c r="CW64" s="76"/>
    </row>
    <row r="65" ht="15.75" customHeight="1">
      <c r="A65" s="50"/>
      <c r="B65" s="59">
        <v>58.0</v>
      </c>
      <c r="C65" s="59" t="s">
        <v>41</v>
      </c>
      <c r="D65" s="60">
        <v>46198.0</v>
      </c>
      <c r="E65" s="61" t="s">
        <v>45</v>
      </c>
      <c r="F65" s="77"/>
      <c r="G65" s="77"/>
      <c r="H65" s="63" t="s">
        <v>42</v>
      </c>
      <c r="I65" s="33"/>
      <c r="J65" s="33"/>
      <c r="K65" s="52"/>
      <c r="L65" s="64"/>
      <c r="M65" s="65" t="s">
        <v>45</v>
      </c>
      <c r="N65" s="77"/>
      <c r="O65" s="77"/>
      <c r="P65" s="66" t="s">
        <v>42</v>
      </c>
      <c r="Q65" s="54"/>
      <c r="R65" s="54"/>
      <c r="S65" s="67">
        <v>0.0</v>
      </c>
      <c r="T65" s="78"/>
      <c r="U65" s="70"/>
      <c r="V65" s="64"/>
      <c r="W65" s="65" t="s">
        <v>45</v>
      </c>
      <c r="X65" s="77"/>
      <c r="Y65" s="77"/>
      <c r="Z65" s="66" t="s">
        <v>42</v>
      </c>
      <c r="AA65" s="54"/>
      <c r="AB65" s="54"/>
      <c r="AC65" s="67">
        <v>0.0</v>
      </c>
      <c r="AD65" s="78"/>
      <c r="AE65" s="70"/>
      <c r="AF65" s="64"/>
      <c r="AG65" s="65" t="s">
        <v>45</v>
      </c>
      <c r="AH65" s="77"/>
      <c r="AI65" s="77"/>
      <c r="AJ65" s="66" t="s">
        <v>42</v>
      </c>
      <c r="AK65" s="54"/>
      <c r="AL65" s="54"/>
      <c r="AM65" s="67">
        <v>0.0</v>
      </c>
      <c r="AN65" s="78"/>
      <c r="AO65" s="70"/>
      <c r="AP65" s="64"/>
      <c r="AQ65" s="65" t="s">
        <v>45</v>
      </c>
      <c r="AR65" s="77"/>
      <c r="AS65" s="77"/>
      <c r="AT65" s="66" t="s">
        <v>42</v>
      </c>
      <c r="AU65" s="54"/>
      <c r="AV65" s="54"/>
      <c r="AW65" s="67">
        <v>0.0</v>
      </c>
      <c r="AX65" s="78"/>
      <c r="AY65" s="70"/>
      <c r="AZ65" s="64"/>
      <c r="BA65" s="65" t="s">
        <v>45</v>
      </c>
      <c r="BB65" s="77"/>
      <c r="BC65" s="77"/>
      <c r="BD65" s="66" t="s">
        <v>42</v>
      </c>
      <c r="BE65" s="54"/>
      <c r="BF65" s="54"/>
      <c r="BG65" s="67">
        <v>0.0</v>
      </c>
      <c r="BH65" s="78"/>
      <c r="BI65" s="70"/>
      <c r="BJ65" s="64"/>
      <c r="BK65" s="65" t="s">
        <v>45</v>
      </c>
      <c r="BL65" s="62">
        <v>0.0</v>
      </c>
      <c r="BM65" s="62">
        <v>1.0</v>
      </c>
      <c r="BN65" s="66" t="s">
        <v>42</v>
      </c>
      <c r="BO65" s="54"/>
      <c r="BP65" s="54"/>
      <c r="BQ65" s="67">
        <v>0.0</v>
      </c>
      <c r="BR65" s="78"/>
      <c r="BS65" s="70"/>
      <c r="BT65" s="64"/>
      <c r="BU65" s="65" t="s">
        <v>45</v>
      </c>
      <c r="BV65" s="62"/>
      <c r="BW65" s="62"/>
      <c r="BX65" s="66" t="s">
        <v>42</v>
      </c>
      <c r="BY65" s="54"/>
      <c r="BZ65" s="54"/>
      <c r="CA65" s="67">
        <v>0.0</v>
      </c>
      <c r="CB65" s="78"/>
      <c r="CC65" s="70"/>
      <c r="CD65" s="64"/>
      <c r="CE65" s="65" t="s">
        <v>45</v>
      </c>
      <c r="CF65" s="62">
        <v>1.0</v>
      </c>
      <c r="CG65" s="62">
        <v>0.0</v>
      </c>
      <c r="CH65" s="66" t="s">
        <v>42</v>
      </c>
      <c r="CI65" s="54"/>
      <c r="CJ65" s="54"/>
      <c r="CK65" s="67">
        <v>0.0</v>
      </c>
      <c r="CL65" s="78"/>
      <c r="CM65" s="70"/>
      <c r="CN65" s="72"/>
      <c r="CO65" s="73" t="s">
        <v>45</v>
      </c>
      <c r="CP65" s="74"/>
      <c r="CQ65" s="74"/>
      <c r="CR65" s="21" t="s">
        <v>42</v>
      </c>
      <c r="CS65" s="21"/>
      <c r="CT65" s="21"/>
      <c r="CU65" s="103">
        <v>0.0</v>
      </c>
      <c r="CV65" s="75"/>
      <c r="CW65" s="76"/>
    </row>
    <row r="66" ht="15.75" customHeight="1">
      <c r="A66" s="50"/>
      <c r="B66" s="59">
        <v>59.0</v>
      </c>
      <c r="C66" s="59" t="s">
        <v>46</v>
      </c>
      <c r="D66" s="60">
        <v>46198.0</v>
      </c>
      <c r="E66" s="61" t="s">
        <v>48</v>
      </c>
      <c r="F66" s="77"/>
      <c r="G66" s="77"/>
      <c r="H66" s="63" t="s">
        <v>49</v>
      </c>
      <c r="I66" s="33"/>
      <c r="J66" s="33"/>
      <c r="K66" s="52"/>
      <c r="L66" s="64"/>
      <c r="M66" s="65" t="s">
        <v>48</v>
      </c>
      <c r="N66" s="77"/>
      <c r="O66" s="77"/>
      <c r="P66" s="66" t="s">
        <v>49</v>
      </c>
      <c r="Q66" s="54"/>
      <c r="R66" s="54"/>
      <c r="S66" s="67">
        <v>0.0</v>
      </c>
      <c r="T66" s="78"/>
      <c r="U66" s="70"/>
      <c r="V66" s="64"/>
      <c r="W66" s="65" t="s">
        <v>48</v>
      </c>
      <c r="X66" s="77"/>
      <c r="Y66" s="77"/>
      <c r="Z66" s="66" t="s">
        <v>49</v>
      </c>
      <c r="AA66" s="54"/>
      <c r="AB66" s="54"/>
      <c r="AC66" s="67">
        <v>0.0</v>
      </c>
      <c r="AD66" s="78"/>
      <c r="AE66" s="70"/>
      <c r="AF66" s="64"/>
      <c r="AG66" s="65" t="s">
        <v>48</v>
      </c>
      <c r="AH66" s="77"/>
      <c r="AI66" s="77"/>
      <c r="AJ66" s="66" t="s">
        <v>49</v>
      </c>
      <c r="AK66" s="54"/>
      <c r="AL66" s="54"/>
      <c r="AM66" s="67">
        <v>0.0</v>
      </c>
      <c r="AN66" s="78"/>
      <c r="AO66" s="70"/>
      <c r="AP66" s="64"/>
      <c r="AQ66" s="65" t="s">
        <v>48</v>
      </c>
      <c r="AR66" s="77"/>
      <c r="AS66" s="77"/>
      <c r="AT66" s="66" t="s">
        <v>49</v>
      </c>
      <c r="AU66" s="54"/>
      <c r="AV66" s="54"/>
      <c r="AW66" s="67">
        <v>0.0</v>
      </c>
      <c r="AX66" s="78"/>
      <c r="AY66" s="70"/>
      <c r="AZ66" s="64"/>
      <c r="BA66" s="65" t="s">
        <v>48</v>
      </c>
      <c r="BB66" s="77"/>
      <c r="BC66" s="77"/>
      <c r="BD66" s="66" t="s">
        <v>49</v>
      </c>
      <c r="BE66" s="54"/>
      <c r="BF66" s="54"/>
      <c r="BG66" s="67">
        <v>0.0</v>
      </c>
      <c r="BH66" s="78"/>
      <c r="BI66" s="70"/>
      <c r="BJ66" s="64"/>
      <c r="BK66" s="65" t="s">
        <v>48</v>
      </c>
      <c r="BL66" s="62">
        <v>0.0</v>
      </c>
      <c r="BM66" s="62">
        <v>3.0</v>
      </c>
      <c r="BN66" s="66" t="s">
        <v>49</v>
      </c>
      <c r="BO66" s="54"/>
      <c r="BP66" s="54"/>
      <c r="BQ66" s="67">
        <v>0.0</v>
      </c>
      <c r="BR66" s="78"/>
      <c r="BS66" s="70"/>
      <c r="BT66" s="64"/>
      <c r="BU66" s="65" t="s">
        <v>48</v>
      </c>
      <c r="BV66" s="62"/>
      <c r="BW66" s="62"/>
      <c r="BX66" s="66" t="s">
        <v>49</v>
      </c>
      <c r="BY66" s="54"/>
      <c r="BZ66" s="54"/>
      <c r="CA66" s="67">
        <v>0.0</v>
      </c>
      <c r="CB66" s="78"/>
      <c r="CC66" s="70"/>
      <c r="CD66" s="64"/>
      <c r="CE66" s="65" t="s">
        <v>48</v>
      </c>
      <c r="CF66" s="62">
        <v>2.0</v>
      </c>
      <c r="CG66" s="62">
        <v>1.0</v>
      </c>
      <c r="CH66" s="66" t="s">
        <v>49</v>
      </c>
      <c r="CI66" s="54"/>
      <c r="CJ66" s="54"/>
      <c r="CK66" s="67">
        <v>0.0</v>
      </c>
      <c r="CL66" s="78"/>
      <c r="CM66" s="70"/>
      <c r="CN66" s="72"/>
      <c r="CO66" s="73" t="s">
        <v>48</v>
      </c>
      <c r="CP66" s="74"/>
      <c r="CQ66" s="74"/>
      <c r="CR66" s="21" t="s">
        <v>49</v>
      </c>
      <c r="CS66" s="21"/>
      <c r="CT66" s="21"/>
      <c r="CU66" s="103">
        <v>0.0</v>
      </c>
      <c r="CV66" s="75"/>
      <c r="CW66" s="76"/>
    </row>
    <row r="67" ht="15.75" customHeight="1">
      <c r="A67" s="50"/>
      <c r="B67" s="59">
        <v>60.0</v>
      </c>
      <c r="C67" s="59" t="s">
        <v>46</v>
      </c>
      <c r="D67" s="60">
        <v>46198.0</v>
      </c>
      <c r="E67" s="61" t="s">
        <v>50</v>
      </c>
      <c r="F67" s="77"/>
      <c r="G67" s="77"/>
      <c r="H67" s="63" t="s">
        <v>47</v>
      </c>
      <c r="I67" s="33"/>
      <c r="J67" s="33"/>
      <c r="K67" s="52"/>
      <c r="L67" s="64"/>
      <c r="M67" s="65" t="s">
        <v>50</v>
      </c>
      <c r="N67" s="77"/>
      <c r="O67" s="77"/>
      <c r="P67" s="66" t="s">
        <v>47</v>
      </c>
      <c r="Q67" s="54"/>
      <c r="R67" s="54"/>
      <c r="S67" s="67">
        <v>0.0</v>
      </c>
      <c r="T67" s="78"/>
      <c r="U67" s="70"/>
      <c r="V67" s="64"/>
      <c r="W67" s="65" t="s">
        <v>50</v>
      </c>
      <c r="X67" s="77"/>
      <c r="Y67" s="77"/>
      <c r="Z67" s="66" t="s">
        <v>47</v>
      </c>
      <c r="AA67" s="54"/>
      <c r="AB67" s="54"/>
      <c r="AC67" s="67">
        <v>0.0</v>
      </c>
      <c r="AD67" s="78"/>
      <c r="AE67" s="70"/>
      <c r="AF67" s="64"/>
      <c r="AG67" s="65" t="s">
        <v>50</v>
      </c>
      <c r="AH67" s="77"/>
      <c r="AI67" s="77"/>
      <c r="AJ67" s="66" t="s">
        <v>47</v>
      </c>
      <c r="AK67" s="54"/>
      <c r="AL67" s="54"/>
      <c r="AM67" s="67">
        <v>0.0</v>
      </c>
      <c r="AN67" s="78"/>
      <c r="AO67" s="70"/>
      <c r="AP67" s="64"/>
      <c r="AQ67" s="65" t="s">
        <v>50</v>
      </c>
      <c r="AR67" s="77"/>
      <c r="AS67" s="77"/>
      <c r="AT67" s="66" t="s">
        <v>47</v>
      </c>
      <c r="AU67" s="54"/>
      <c r="AV67" s="54"/>
      <c r="AW67" s="67">
        <v>0.0</v>
      </c>
      <c r="AX67" s="78"/>
      <c r="AY67" s="70"/>
      <c r="AZ67" s="64"/>
      <c r="BA67" s="65" t="s">
        <v>50</v>
      </c>
      <c r="BB67" s="77"/>
      <c r="BC67" s="77"/>
      <c r="BD67" s="66" t="s">
        <v>47</v>
      </c>
      <c r="BE67" s="54"/>
      <c r="BF67" s="54"/>
      <c r="BG67" s="67">
        <v>0.0</v>
      </c>
      <c r="BH67" s="78"/>
      <c r="BI67" s="70"/>
      <c r="BJ67" s="64"/>
      <c r="BK67" s="65" t="s">
        <v>50</v>
      </c>
      <c r="BL67" s="62">
        <v>0.0</v>
      </c>
      <c r="BM67" s="62">
        <v>2.0</v>
      </c>
      <c r="BN67" s="66" t="s">
        <v>47</v>
      </c>
      <c r="BO67" s="54"/>
      <c r="BP67" s="54"/>
      <c r="BQ67" s="67">
        <v>0.0</v>
      </c>
      <c r="BR67" s="78"/>
      <c r="BS67" s="70"/>
      <c r="BT67" s="64"/>
      <c r="BU67" s="65" t="s">
        <v>50</v>
      </c>
      <c r="BV67" s="62"/>
      <c r="BW67" s="62"/>
      <c r="BX67" s="66" t="s">
        <v>47</v>
      </c>
      <c r="BY67" s="54"/>
      <c r="BZ67" s="54"/>
      <c r="CA67" s="67">
        <v>0.0</v>
      </c>
      <c r="CB67" s="78"/>
      <c r="CC67" s="70"/>
      <c r="CD67" s="64"/>
      <c r="CE67" s="65" t="s">
        <v>50</v>
      </c>
      <c r="CF67" s="62">
        <v>1.0</v>
      </c>
      <c r="CG67" s="62">
        <v>2.0</v>
      </c>
      <c r="CH67" s="66" t="s">
        <v>47</v>
      </c>
      <c r="CI67" s="54"/>
      <c r="CJ67" s="54"/>
      <c r="CK67" s="67">
        <v>0.0</v>
      </c>
      <c r="CL67" s="78"/>
      <c r="CM67" s="70"/>
      <c r="CN67" s="72"/>
      <c r="CO67" s="73" t="s">
        <v>50</v>
      </c>
      <c r="CP67" s="74"/>
      <c r="CQ67" s="74"/>
      <c r="CR67" s="21" t="s">
        <v>47</v>
      </c>
      <c r="CS67" s="21"/>
      <c r="CT67" s="21"/>
      <c r="CU67" s="103">
        <v>0.0</v>
      </c>
      <c r="CV67" s="75"/>
      <c r="CW67" s="76"/>
    </row>
    <row r="68" ht="15.75" customHeight="1">
      <c r="A68" s="50"/>
      <c r="B68" s="59">
        <v>61.0</v>
      </c>
      <c r="C68" s="59" t="s">
        <v>51</v>
      </c>
      <c r="D68" s="60">
        <v>46199.0</v>
      </c>
      <c r="E68" s="61" t="s">
        <v>53</v>
      </c>
      <c r="F68" s="77"/>
      <c r="G68" s="77"/>
      <c r="H68" s="63" t="s">
        <v>54</v>
      </c>
      <c r="I68" s="33"/>
      <c r="J68" s="33"/>
      <c r="K68" s="52"/>
      <c r="L68" s="64"/>
      <c r="M68" s="65" t="s">
        <v>53</v>
      </c>
      <c r="N68" s="77"/>
      <c r="O68" s="77"/>
      <c r="P68" s="66" t="s">
        <v>54</v>
      </c>
      <c r="Q68" s="54"/>
      <c r="R68" s="54"/>
      <c r="S68" s="67">
        <v>0.0</v>
      </c>
      <c r="T68" s="78"/>
      <c r="U68" s="70"/>
      <c r="V68" s="64"/>
      <c r="W68" s="65" t="s">
        <v>53</v>
      </c>
      <c r="X68" s="77"/>
      <c r="Y68" s="77"/>
      <c r="Z68" s="66" t="s">
        <v>54</v>
      </c>
      <c r="AA68" s="54"/>
      <c r="AB68" s="54"/>
      <c r="AC68" s="67">
        <v>0.0</v>
      </c>
      <c r="AD68" s="78"/>
      <c r="AE68" s="70"/>
      <c r="AF68" s="64"/>
      <c r="AG68" s="65" t="s">
        <v>53</v>
      </c>
      <c r="AH68" s="77"/>
      <c r="AI68" s="77"/>
      <c r="AJ68" s="66" t="s">
        <v>54</v>
      </c>
      <c r="AK68" s="54"/>
      <c r="AL68" s="54"/>
      <c r="AM68" s="67">
        <v>0.0</v>
      </c>
      <c r="AN68" s="78"/>
      <c r="AO68" s="70"/>
      <c r="AP68" s="64"/>
      <c r="AQ68" s="65" t="s">
        <v>53</v>
      </c>
      <c r="AR68" s="77"/>
      <c r="AS68" s="77"/>
      <c r="AT68" s="66" t="s">
        <v>54</v>
      </c>
      <c r="AU68" s="54"/>
      <c r="AV68" s="54"/>
      <c r="AW68" s="67">
        <v>0.0</v>
      </c>
      <c r="AX68" s="78"/>
      <c r="AY68" s="70"/>
      <c r="AZ68" s="64"/>
      <c r="BA68" s="65" t="s">
        <v>53</v>
      </c>
      <c r="BB68" s="77"/>
      <c r="BC68" s="77"/>
      <c r="BD68" s="66" t="s">
        <v>54</v>
      </c>
      <c r="BE68" s="54"/>
      <c r="BF68" s="54"/>
      <c r="BG68" s="67">
        <v>0.0</v>
      </c>
      <c r="BH68" s="78"/>
      <c r="BI68" s="70"/>
      <c r="BJ68" s="64"/>
      <c r="BK68" s="65" t="s">
        <v>53</v>
      </c>
      <c r="BL68" s="62">
        <v>1.0</v>
      </c>
      <c r="BM68" s="62">
        <v>0.0</v>
      </c>
      <c r="BN68" s="66" t="s">
        <v>54</v>
      </c>
      <c r="BO68" s="54"/>
      <c r="BP68" s="54"/>
      <c r="BQ68" s="67">
        <v>0.0</v>
      </c>
      <c r="BR68" s="78"/>
      <c r="BS68" s="70"/>
      <c r="BT68" s="64"/>
      <c r="BU68" s="65" t="s">
        <v>53</v>
      </c>
      <c r="BV68" s="62"/>
      <c r="BW68" s="62"/>
      <c r="BX68" s="66" t="s">
        <v>54</v>
      </c>
      <c r="BY68" s="54"/>
      <c r="BZ68" s="54"/>
      <c r="CA68" s="67">
        <v>0.0</v>
      </c>
      <c r="CB68" s="78"/>
      <c r="CC68" s="70"/>
      <c r="CD68" s="64"/>
      <c r="CE68" s="65" t="s">
        <v>53</v>
      </c>
      <c r="CF68" s="62">
        <v>0.0</v>
      </c>
      <c r="CG68" s="62">
        <v>2.0</v>
      </c>
      <c r="CH68" s="66" t="s">
        <v>54</v>
      </c>
      <c r="CI68" s="54"/>
      <c r="CJ68" s="54"/>
      <c r="CK68" s="67">
        <v>0.0</v>
      </c>
      <c r="CL68" s="78"/>
      <c r="CM68" s="70"/>
      <c r="CN68" s="72"/>
      <c r="CO68" s="73" t="s">
        <v>53</v>
      </c>
      <c r="CP68" s="74"/>
      <c r="CQ68" s="74"/>
      <c r="CR68" s="21" t="s">
        <v>54</v>
      </c>
      <c r="CS68" s="21"/>
      <c r="CT68" s="21"/>
      <c r="CU68" s="103">
        <v>0.0</v>
      </c>
      <c r="CV68" s="75"/>
      <c r="CW68" s="76"/>
    </row>
    <row r="69" ht="15.75" customHeight="1">
      <c r="A69" s="50"/>
      <c r="B69" s="59">
        <v>62.0</v>
      </c>
      <c r="C69" s="59" t="s">
        <v>51</v>
      </c>
      <c r="D69" s="60">
        <v>46199.0</v>
      </c>
      <c r="E69" s="61" t="s">
        <v>55</v>
      </c>
      <c r="F69" s="77"/>
      <c r="G69" s="77"/>
      <c r="H69" s="63" t="s">
        <v>52</v>
      </c>
      <c r="I69" s="33"/>
      <c r="J69" s="33"/>
      <c r="K69" s="52"/>
      <c r="L69" s="64"/>
      <c r="M69" s="65" t="s">
        <v>55</v>
      </c>
      <c r="N69" s="77"/>
      <c r="O69" s="77"/>
      <c r="P69" s="66" t="s">
        <v>52</v>
      </c>
      <c r="Q69" s="54"/>
      <c r="R69" s="54"/>
      <c r="S69" s="67">
        <v>0.0</v>
      </c>
      <c r="T69" s="78"/>
      <c r="U69" s="70"/>
      <c r="V69" s="64"/>
      <c r="W69" s="65" t="s">
        <v>55</v>
      </c>
      <c r="X69" s="77"/>
      <c r="Y69" s="77"/>
      <c r="Z69" s="66" t="s">
        <v>52</v>
      </c>
      <c r="AA69" s="54"/>
      <c r="AB69" s="54"/>
      <c r="AC69" s="67">
        <v>0.0</v>
      </c>
      <c r="AD69" s="78"/>
      <c r="AE69" s="70"/>
      <c r="AF69" s="64"/>
      <c r="AG69" s="65" t="s">
        <v>55</v>
      </c>
      <c r="AH69" s="77"/>
      <c r="AI69" s="77"/>
      <c r="AJ69" s="66" t="s">
        <v>52</v>
      </c>
      <c r="AK69" s="54"/>
      <c r="AL69" s="54"/>
      <c r="AM69" s="67">
        <v>0.0</v>
      </c>
      <c r="AN69" s="78"/>
      <c r="AO69" s="70"/>
      <c r="AP69" s="64"/>
      <c r="AQ69" s="65" t="s">
        <v>55</v>
      </c>
      <c r="AR69" s="77"/>
      <c r="AS69" s="77"/>
      <c r="AT69" s="66" t="s">
        <v>52</v>
      </c>
      <c r="AU69" s="54"/>
      <c r="AV69" s="54"/>
      <c r="AW69" s="67">
        <v>0.0</v>
      </c>
      <c r="AX69" s="78"/>
      <c r="AY69" s="70"/>
      <c r="AZ69" s="64"/>
      <c r="BA69" s="65" t="s">
        <v>55</v>
      </c>
      <c r="BB69" s="77"/>
      <c r="BC69" s="77"/>
      <c r="BD69" s="66" t="s">
        <v>52</v>
      </c>
      <c r="BE69" s="54"/>
      <c r="BF69" s="54"/>
      <c r="BG69" s="67">
        <v>0.0</v>
      </c>
      <c r="BH69" s="78"/>
      <c r="BI69" s="70"/>
      <c r="BJ69" s="64"/>
      <c r="BK69" s="65" t="s">
        <v>55</v>
      </c>
      <c r="BL69" s="62">
        <v>0.0</v>
      </c>
      <c r="BM69" s="62">
        <v>2.0</v>
      </c>
      <c r="BN69" s="66" t="s">
        <v>52</v>
      </c>
      <c r="BO69" s="54"/>
      <c r="BP69" s="54"/>
      <c r="BQ69" s="67">
        <v>0.0</v>
      </c>
      <c r="BR69" s="78"/>
      <c r="BS69" s="70"/>
      <c r="BT69" s="64"/>
      <c r="BU69" s="65" t="s">
        <v>55</v>
      </c>
      <c r="BV69" s="62"/>
      <c r="BW69" s="62"/>
      <c r="BX69" s="66" t="s">
        <v>52</v>
      </c>
      <c r="BY69" s="54"/>
      <c r="BZ69" s="54"/>
      <c r="CA69" s="67">
        <v>0.0</v>
      </c>
      <c r="CB69" s="78"/>
      <c r="CC69" s="70"/>
      <c r="CD69" s="64"/>
      <c r="CE69" s="65" t="s">
        <v>55</v>
      </c>
      <c r="CF69" s="62">
        <v>0.0</v>
      </c>
      <c r="CG69" s="62">
        <v>2.0</v>
      </c>
      <c r="CH69" s="66" t="s">
        <v>52</v>
      </c>
      <c r="CI69" s="54"/>
      <c r="CJ69" s="54"/>
      <c r="CK69" s="67">
        <v>0.0</v>
      </c>
      <c r="CL69" s="78"/>
      <c r="CM69" s="70"/>
      <c r="CN69" s="72"/>
      <c r="CO69" s="73" t="s">
        <v>55</v>
      </c>
      <c r="CP69" s="74"/>
      <c r="CQ69" s="74"/>
      <c r="CR69" s="21" t="s">
        <v>52</v>
      </c>
      <c r="CS69" s="21"/>
      <c r="CT69" s="21"/>
      <c r="CU69" s="103">
        <v>0.0</v>
      </c>
      <c r="CV69" s="75"/>
      <c r="CW69" s="76"/>
    </row>
    <row r="70" ht="15.75" customHeight="1">
      <c r="A70" s="50"/>
      <c r="B70" s="59">
        <v>63.0</v>
      </c>
      <c r="C70" s="59" t="s">
        <v>56</v>
      </c>
      <c r="D70" s="60">
        <v>46199.0</v>
      </c>
      <c r="E70" s="61" t="s">
        <v>58</v>
      </c>
      <c r="F70" s="77"/>
      <c r="G70" s="77"/>
      <c r="H70" s="63" t="s">
        <v>59</v>
      </c>
      <c r="I70" s="33"/>
      <c r="J70" s="33"/>
      <c r="K70" s="52"/>
      <c r="L70" s="64"/>
      <c r="M70" s="65" t="s">
        <v>58</v>
      </c>
      <c r="N70" s="77"/>
      <c r="O70" s="77"/>
      <c r="P70" s="66" t="s">
        <v>59</v>
      </c>
      <c r="Q70" s="54"/>
      <c r="R70" s="54"/>
      <c r="S70" s="67">
        <v>0.0</v>
      </c>
      <c r="T70" s="78"/>
      <c r="U70" s="70"/>
      <c r="V70" s="64"/>
      <c r="W70" s="65" t="s">
        <v>58</v>
      </c>
      <c r="X70" s="77"/>
      <c r="Y70" s="77"/>
      <c r="Z70" s="66" t="s">
        <v>59</v>
      </c>
      <c r="AA70" s="54"/>
      <c r="AB70" s="54"/>
      <c r="AC70" s="67">
        <v>0.0</v>
      </c>
      <c r="AD70" s="78"/>
      <c r="AE70" s="70"/>
      <c r="AF70" s="64"/>
      <c r="AG70" s="65" t="s">
        <v>58</v>
      </c>
      <c r="AH70" s="77"/>
      <c r="AI70" s="77"/>
      <c r="AJ70" s="66" t="s">
        <v>59</v>
      </c>
      <c r="AK70" s="54"/>
      <c r="AL70" s="54"/>
      <c r="AM70" s="67">
        <v>0.0</v>
      </c>
      <c r="AN70" s="78"/>
      <c r="AO70" s="70"/>
      <c r="AP70" s="64"/>
      <c r="AQ70" s="65" t="s">
        <v>58</v>
      </c>
      <c r="AR70" s="77"/>
      <c r="AS70" s="77"/>
      <c r="AT70" s="66" t="s">
        <v>59</v>
      </c>
      <c r="AU70" s="54"/>
      <c r="AV70" s="54"/>
      <c r="AW70" s="67">
        <v>0.0</v>
      </c>
      <c r="AX70" s="78"/>
      <c r="AY70" s="70"/>
      <c r="AZ70" s="64"/>
      <c r="BA70" s="65" t="s">
        <v>58</v>
      </c>
      <c r="BB70" s="77"/>
      <c r="BC70" s="77"/>
      <c r="BD70" s="66" t="s">
        <v>59</v>
      </c>
      <c r="BE70" s="54"/>
      <c r="BF70" s="54"/>
      <c r="BG70" s="67">
        <v>0.0</v>
      </c>
      <c r="BH70" s="78"/>
      <c r="BI70" s="70"/>
      <c r="BJ70" s="64"/>
      <c r="BK70" s="65" t="s">
        <v>58</v>
      </c>
      <c r="BL70" s="62">
        <v>0.0</v>
      </c>
      <c r="BM70" s="62">
        <v>2.0</v>
      </c>
      <c r="BN70" s="66" t="s">
        <v>59</v>
      </c>
      <c r="BO70" s="54"/>
      <c r="BP70" s="54"/>
      <c r="BQ70" s="67">
        <v>0.0</v>
      </c>
      <c r="BR70" s="78"/>
      <c r="BS70" s="70"/>
      <c r="BT70" s="64"/>
      <c r="BU70" s="65" t="s">
        <v>58</v>
      </c>
      <c r="BV70" s="62"/>
      <c r="BW70" s="62"/>
      <c r="BX70" s="66" t="s">
        <v>59</v>
      </c>
      <c r="BY70" s="54"/>
      <c r="BZ70" s="54"/>
      <c r="CA70" s="67">
        <v>0.0</v>
      </c>
      <c r="CB70" s="78"/>
      <c r="CC70" s="70"/>
      <c r="CD70" s="64"/>
      <c r="CE70" s="65" t="s">
        <v>58</v>
      </c>
      <c r="CF70" s="62">
        <v>0.0</v>
      </c>
      <c r="CG70" s="62">
        <v>1.0</v>
      </c>
      <c r="CH70" s="66" t="s">
        <v>59</v>
      </c>
      <c r="CI70" s="54"/>
      <c r="CJ70" s="54"/>
      <c r="CK70" s="67">
        <v>0.0</v>
      </c>
      <c r="CL70" s="78"/>
      <c r="CM70" s="70"/>
      <c r="CN70" s="72"/>
      <c r="CO70" s="73" t="s">
        <v>58</v>
      </c>
      <c r="CP70" s="74"/>
      <c r="CQ70" s="74"/>
      <c r="CR70" s="21" t="s">
        <v>59</v>
      </c>
      <c r="CS70" s="21"/>
      <c r="CT70" s="21"/>
      <c r="CU70" s="103">
        <v>0.0</v>
      </c>
      <c r="CV70" s="75"/>
      <c r="CW70" s="76"/>
    </row>
    <row r="71" ht="15.75" customHeight="1">
      <c r="A71" s="50"/>
      <c r="B71" s="59">
        <v>64.0</v>
      </c>
      <c r="C71" s="59" t="s">
        <v>56</v>
      </c>
      <c r="D71" s="60">
        <v>46199.0</v>
      </c>
      <c r="E71" s="61" t="s">
        <v>60</v>
      </c>
      <c r="F71" s="77"/>
      <c r="G71" s="77"/>
      <c r="H71" s="63" t="s">
        <v>57</v>
      </c>
      <c r="I71" s="33"/>
      <c r="J71" s="33"/>
      <c r="K71" s="52"/>
      <c r="L71" s="64"/>
      <c r="M71" s="65" t="s">
        <v>60</v>
      </c>
      <c r="N71" s="77"/>
      <c r="O71" s="77"/>
      <c r="P71" s="66" t="s">
        <v>57</v>
      </c>
      <c r="Q71" s="54"/>
      <c r="R71" s="54"/>
      <c r="S71" s="67">
        <v>0.0</v>
      </c>
      <c r="T71" s="78"/>
      <c r="U71" s="70"/>
      <c r="V71" s="64"/>
      <c r="W71" s="65" t="s">
        <v>60</v>
      </c>
      <c r="X71" s="77"/>
      <c r="Y71" s="77"/>
      <c r="Z71" s="66" t="s">
        <v>57</v>
      </c>
      <c r="AA71" s="54"/>
      <c r="AB71" s="54"/>
      <c r="AC71" s="67">
        <v>0.0</v>
      </c>
      <c r="AD71" s="78"/>
      <c r="AE71" s="70"/>
      <c r="AF71" s="64"/>
      <c r="AG71" s="65" t="s">
        <v>60</v>
      </c>
      <c r="AH71" s="77"/>
      <c r="AI71" s="77"/>
      <c r="AJ71" s="66" t="s">
        <v>57</v>
      </c>
      <c r="AK71" s="54"/>
      <c r="AL71" s="54"/>
      <c r="AM71" s="67">
        <v>0.0</v>
      </c>
      <c r="AN71" s="78"/>
      <c r="AO71" s="70"/>
      <c r="AP71" s="64"/>
      <c r="AQ71" s="65" t="s">
        <v>60</v>
      </c>
      <c r="AR71" s="77"/>
      <c r="AS71" s="77"/>
      <c r="AT71" s="66" t="s">
        <v>57</v>
      </c>
      <c r="AU71" s="54"/>
      <c r="AV71" s="54"/>
      <c r="AW71" s="67">
        <v>0.0</v>
      </c>
      <c r="AX71" s="78"/>
      <c r="AY71" s="70"/>
      <c r="AZ71" s="64"/>
      <c r="BA71" s="65" t="s">
        <v>60</v>
      </c>
      <c r="BB71" s="77"/>
      <c r="BC71" s="77"/>
      <c r="BD71" s="66" t="s">
        <v>57</v>
      </c>
      <c r="BE71" s="54"/>
      <c r="BF71" s="54"/>
      <c r="BG71" s="67">
        <v>0.0</v>
      </c>
      <c r="BH71" s="78"/>
      <c r="BI71" s="70"/>
      <c r="BJ71" s="64"/>
      <c r="BK71" s="65" t="s">
        <v>60</v>
      </c>
      <c r="BL71" s="62">
        <v>0.0</v>
      </c>
      <c r="BM71" s="62">
        <v>4.0</v>
      </c>
      <c r="BN71" s="66" t="s">
        <v>57</v>
      </c>
      <c r="BO71" s="54"/>
      <c r="BP71" s="54"/>
      <c r="BQ71" s="67">
        <v>0.0</v>
      </c>
      <c r="BR71" s="78"/>
      <c r="BS71" s="70"/>
      <c r="BT71" s="64"/>
      <c r="BU71" s="65" t="s">
        <v>60</v>
      </c>
      <c r="BV71" s="62"/>
      <c r="BW71" s="62"/>
      <c r="BX71" s="66" t="s">
        <v>57</v>
      </c>
      <c r="BY71" s="54"/>
      <c r="BZ71" s="54"/>
      <c r="CA71" s="67">
        <v>0.0</v>
      </c>
      <c r="CB71" s="78"/>
      <c r="CC71" s="70"/>
      <c r="CD71" s="64"/>
      <c r="CE71" s="65" t="s">
        <v>60</v>
      </c>
      <c r="CF71" s="62">
        <v>2.0</v>
      </c>
      <c r="CG71" s="62">
        <v>1.0</v>
      </c>
      <c r="CH71" s="66" t="s">
        <v>57</v>
      </c>
      <c r="CI71" s="54"/>
      <c r="CJ71" s="54"/>
      <c r="CK71" s="67">
        <v>0.0</v>
      </c>
      <c r="CL71" s="78"/>
      <c r="CM71" s="70"/>
      <c r="CN71" s="72"/>
      <c r="CO71" s="73" t="s">
        <v>60</v>
      </c>
      <c r="CP71" s="74"/>
      <c r="CQ71" s="74"/>
      <c r="CR71" s="21" t="s">
        <v>57</v>
      </c>
      <c r="CS71" s="21"/>
      <c r="CT71" s="21"/>
      <c r="CU71" s="103">
        <v>0.0</v>
      </c>
      <c r="CV71" s="75"/>
      <c r="CW71" s="76"/>
    </row>
    <row r="72" ht="15.75" customHeight="1">
      <c r="A72" s="50"/>
      <c r="B72" s="59">
        <v>65.0</v>
      </c>
      <c r="C72" s="59" t="s">
        <v>61</v>
      </c>
      <c r="D72" s="60">
        <v>46199.0</v>
      </c>
      <c r="E72" s="61" t="s">
        <v>65</v>
      </c>
      <c r="F72" s="77"/>
      <c r="G72" s="77"/>
      <c r="H72" s="63" t="s">
        <v>62</v>
      </c>
      <c r="I72" s="33"/>
      <c r="J72" s="33"/>
      <c r="K72" s="52"/>
      <c r="L72" s="64"/>
      <c r="M72" s="65" t="s">
        <v>65</v>
      </c>
      <c r="N72" s="77"/>
      <c r="O72" s="77"/>
      <c r="P72" s="66" t="s">
        <v>62</v>
      </c>
      <c r="Q72" s="54"/>
      <c r="R72" s="54"/>
      <c r="S72" s="67">
        <v>0.0</v>
      </c>
      <c r="T72" s="78"/>
      <c r="U72" s="70"/>
      <c r="V72" s="64"/>
      <c r="W72" s="65" t="s">
        <v>65</v>
      </c>
      <c r="X72" s="77"/>
      <c r="Y72" s="77"/>
      <c r="Z72" s="66" t="s">
        <v>62</v>
      </c>
      <c r="AA72" s="54"/>
      <c r="AB72" s="54"/>
      <c r="AC72" s="67">
        <v>0.0</v>
      </c>
      <c r="AD72" s="78"/>
      <c r="AE72" s="70"/>
      <c r="AF72" s="64"/>
      <c r="AG72" s="65" t="s">
        <v>65</v>
      </c>
      <c r="AH72" s="77"/>
      <c r="AI72" s="77"/>
      <c r="AJ72" s="66" t="s">
        <v>62</v>
      </c>
      <c r="AK72" s="54"/>
      <c r="AL72" s="54"/>
      <c r="AM72" s="67">
        <v>0.0</v>
      </c>
      <c r="AN72" s="78"/>
      <c r="AO72" s="70"/>
      <c r="AP72" s="64"/>
      <c r="AQ72" s="65" t="s">
        <v>65</v>
      </c>
      <c r="AR72" s="77"/>
      <c r="AS72" s="77"/>
      <c r="AT72" s="66" t="s">
        <v>62</v>
      </c>
      <c r="AU72" s="54"/>
      <c r="AV72" s="54"/>
      <c r="AW72" s="67">
        <v>0.0</v>
      </c>
      <c r="AX72" s="78"/>
      <c r="AY72" s="70"/>
      <c r="AZ72" s="64"/>
      <c r="BA72" s="65" t="s">
        <v>65</v>
      </c>
      <c r="BB72" s="77"/>
      <c r="BC72" s="77"/>
      <c r="BD72" s="66" t="s">
        <v>62</v>
      </c>
      <c r="BE72" s="54"/>
      <c r="BF72" s="54"/>
      <c r="BG72" s="67">
        <v>0.0</v>
      </c>
      <c r="BH72" s="78"/>
      <c r="BI72" s="70"/>
      <c r="BJ72" s="64"/>
      <c r="BK72" s="65" t="s">
        <v>65</v>
      </c>
      <c r="BL72" s="62">
        <v>1.0</v>
      </c>
      <c r="BM72" s="62">
        <v>3.0</v>
      </c>
      <c r="BN72" s="66" t="s">
        <v>62</v>
      </c>
      <c r="BO72" s="54"/>
      <c r="BP72" s="54"/>
      <c r="BQ72" s="67">
        <v>0.0</v>
      </c>
      <c r="BR72" s="78"/>
      <c r="BS72" s="70"/>
      <c r="BT72" s="64"/>
      <c r="BU72" s="65" t="s">
        <v>65</v>
      </c>
      <c r="BV72" s="62"/>
      <c r="BW72" s="62"/>
      <c r="BX72" s="66" t="s">
        <v>62</v>
      </c>
      <c r="BY72" s="54"/>
      <c r="BZ72" s="54"/>
      <c r="CA72" s="67">
        <v>0.0</v>
      </c>
      <c r="CB72" s="78"/>
      <c r="CC72" s="70"/>
      <c r="CD72" s="64"/>
      <c r="CE72" s="65" t="s">
        <v>65</v>
      </c>
      <c r="CF72" s="62">
        <v>1.0</v>
      </c>
      <c r="CG72" s="62">
        <v>2.0</v>
      </c>
      <c r="CH72" s="66" t="s">
        <v>62</v>
      </c>
      <c r="CI72" s="54"/>
      <c r="CJ72" s="54"/>
      <c r="CK72" s="67">
        <v>0.0</v>
      </c>
      <c r="CL72" s="78"/>
      <c r="CM72" s="70"/>
      <c r="CN72" s="72"/>
      <c r="CO72" s="73" t="s">
        <v>65</v>
      </c>
      <c r="CP72" s="74"/>
      <c r="CQ72" s="74"/>
      <c r="CR72" s="21" t="s">
        <v>62</v>
      </c>
      <c r="CS72" s="21"/>
      <c r="CT72" s="21"/>
      <c r="CU72" s="103">
        <v>0.0</v>
      </c>
      <c r="CV72" s="75"/>
      <c r="CW72" s="76"/>
    </row>
    <row r="73" ht="15.75" customHeight="1">
      <c r="A73" s="50"/>
      <c r="B73" s="59">
        <v>66.0</v>
      </c>
      <c r="C73" s="59" t="s">
        <v>61</v>
      </c>
      <c r="D73" s="60">
        <v>46199.0</v>
      </c>
      <c r="E73" s="61" t="s">
        <v>63</v>
      </c>
      <c r="F73" s="77"/>
      <c r="G73" s="77"/>
      <c r="H73" s="63" t="s">
        <v>64</v>
      </c>
      <c r="I73" s="33"/>
      <c r="J73" s="33"/>
      <c r="K73" s="52"/>
      <c r="L73" s="64"/>
      <c r="M73" s="65" t="s">
        <v>63</v>
      </c>
      <c r="N73" s="77"/>
      <c r="O73" s="77"/>
      <c r="P73" s="66" t="s">
        <v>64</v>
      </c>
      <c r="Q73" s="54"/>
      <c r="R73" s="54"/>
      <c r="S73" s="67">
        <v>0.0</v>
      </c>
      <c r="T73" s="78"/>
      <c r="U73" s="70"/>
      <c r="V73" s="64"/>
      <c r="W73" s="65" t="s">
        <v>63</v>
      </c>
      <c r="X73" s="77"/>
      <c r="Y73" s="77"/>
      <c r="Z73" s="66" t="s">
        <v>64</v>
      </c>
      <c r="AA73" s="54"/>
      <c r="AB73" s="54"/>
      <c r="AC73" s="67">
        <v>0.0</v>
      </c>
      <c r="AD73" s="78"/>
      <c r="AE73" s="70"/>
      <c r="AF73" s="64"/>
      <c r="AG73" s="65" t="s">
        <v>63</v>
      </c>
      <c r="AH73" s="77"/>
      <c r="AI73" s="77"/>
      <c r="AJ73" s="66" t="s">
        <v>64</v>
      </c>
      <c r="AK73" s="54"/>
      <c r="AL73" s="54"/>
      <c r="AM73" s="67">
        <v>0.0</v>
      </c>
      <c r="AN73" s="78"/>
      <c r="AO73" s="70"/>
      <c r="AP73" s="64"/>
      <c r="AQ73" s="65" t="s">
        <v>63</v>
      </c>
      <c r="AR73" s="77"/>
      <c r="AS73" s="77"/>
      <c r="AT73" s="66" t="s">
        <v>64</v>
      </c>
      <c r="AU73" s="54"/>
      <c r="AV73" s="54"/>
      <c r="AW73" s="67">
        <v>0.0</v>
      </c>
      <c r="AX73" s="78"/>
      <c r="AY73" s="70"/>
      <c r="AZ73" s="64"/>
      <c r="BA73" s="65" t="s">
        <v>63</v>
      </c>
      <c r="BB73" s="77"/>
      <c r="BC73" s="77"/>
      <c r="BD73" s="66" t="s">
        <v>64</v>
      </c>
      <c r="BE73" s="54"/>
      <c r="BF73" s="54"/>
      <c r="BG73" s="67">
        <v>0.0</v>
      </c>
      <c r="BH73" s="78"/>
      <c r="BI73" s="70"/>
      <c r="BJ73" s="64"/>
      <c r="BK73" s="65" t="s">
        <v>63</v>
      </c>
      <c r="BL73" s="62">
        <v>1.0</v>
      </c>
      <c r="BM73" s="62">
        <v>2.0</v>
      </c>
      <c r="BN73" s="66" t="s">
        <v>64</v>
      </c>
      <c r="BO73" s="54"/>
      <c r="BP73" s="54"/>
      <c r="BQ73" s="67">
        <v>0.0</v>
      </c>
      <c r="BR73" s="78"/>
      <c r="BS73" s="70"/>
      <c r="BT73" s="64"/>
      <c r="BU73" s="65" t="s">
        <v>63</v>
      </c>
      <c r="BV73" s="62"/>
      <c r="BW73" s="62"/>
      <c r="BX73" s="66" t="s">
        <v>64</v>
      </c>
      <c r="BY73" s="54"/>
      <c r="BZ73" s="54"/>
      <c r="CA73" s="67">
        <v>0.0</v>
      </c>
      <c r="CB73" s="78"/>
      <c r="CC73" s="70"/>
      <c r="CD73" s="64"/>
      <c r="CE73" s="65" t="s">
        <v>63</v>
      </c>
      <c r="CF73" s="62">
        <v>2.0</v>
      </c>
      <c r="CG73" s="62">
        <v>0.0</v>
      </c>
      <c r="CH73" s="66" t="s">
        <v>64</v>
      </c>
      <c r="CI73" s="54"/>
      <c r="CJ73" s="54"/>
      <c r="CK73" s="67">
        <v>0.0</v>
      </c>
      <c r="CL73" s="78"/>
      <c r="CM73" s="70"/>
      <c r="CN73" s="72"/>
      <c r="CO73" s="73" t="s">
        <v>63</v>
      </c>
      <c r="CP73" s="74"/>
      <c r="CQ73" s="74"/>
      <c r="CR73" s="21" t="s">
        <v>64</v>
      </c>
      <c r="CS73" s="21"/>
      <c r="CT73" s="21"/>
      <c r="CU73" s="103">
        <v>0.0</v>
      </c>
      <c r="CV73" s="75"/>
      <c r="CW73" s="76"/>
    </row>
    <row r="74" ht="15.75" customHeight="1">
      <c r="A74" s="50"/>
      <c r="B74" s="59">
        <v>67.0</v>
      </c>
      <c r="C74" s="59" t="s">
        <v>66</v>
      </c>
      <c r="D74" s="60">
        <v>46200.0</v>
      </c>
      <c r="E74" s="61" t="s">
        <v>68</v>
      </c>
      <c r="F74" s="77"/>
      <c r="G74" s="77"/>
      <c r="H74" s="63" t="s">
        <v>69</v>
      </c>
      <c r="I74" s="33"/>
      <c r="J74" s="33"/>
      <c r="K74" s="52"/>
      <c r="L74" s="64"/>
      <c r="M74" s="65" t="s">
        <v>68</v>
      </c>
      <c r="N74" s="77"/>
      <c r="O74" s="77"/>
      <c r="P74" s="66" t="s">
        <v>69</v>
      </c>
      <c r="Q74" s="54"/>
      <c r="R74" s="54"/>
      <c r="S74" s="67">
        <v>0.0</v>
      </c>
      <c r="T74" s="78"/>
      <c r="U74" s="70"/>
      <c r="V74" s="64"/>
      <c r="W74" s="65" t="s">
        <v>68</v>
      </c>
      <c r="X74" s="77"/>
      <c r="Y74" s="77"/>
      <c r="Z74" s="66" t="s">
        <v>69</v>
      </c>
      <c r="AA74" s="54"/>
      <c r="AB74" s="54"/>
      <c r="AC74" s="67">
        <v>0.0</v>
      </c>
      <c r="AD74" s="78"/>
      <c r="AE74" s="70"/>
      <c r="AF74" s="64"/>
      <c r="AG74" s="65" t="s">
        <v>68</v>
      </c>
      <c r="AH74" s="77"/>
      <c r="AI74" s="77"/>
      <c r="AJ74" s="66" t="s">
        <v>69</v>
      </c>
      <c r="AK74" s="54"/>
      <c r="AL74" s="54"/>
      <c r="AM74" s="67">
        <v>0.0</v>
      </c>
      <c r="AN74" s="78"/>
      <c r="AO74" s="70"/>
      <c r="AP74" s="64"/>
      <c r="AQ74" s="65" t="s">
        <v>68</v>
      </c>
      <c r="AR74" s="77"/>
      <c r="AS74" s="77"/>
      <c r="AT74" s="66" t="s">
        <v>69</v>
      </c>
      <c r="AU74" s="54"/>
      <c r="AV74" s="54"/>
      <c r="AW74" s="67">
        <v>0.0</v>
      </c>
      <c r="AX74" s="78"/>
      <c r="AY74" s="70"/>
      <c r="AZ74" s="64"/>
      <c r="BA74" s="65" t="s">
        <v>68</v>
      </c>
      <c r="BB74" s="77"/>
      <c r="BC74" s="77"/>
      <c r="BD74" s="66" t="s">
        <v>69</v>
      </c>
      <c r="BE74" s="54"/>
      <c r="BF74" s="54"/>
      <c r="BG74" s="67">
        <v>0.0</v>
      </c>
      <c r="BH74" s="78"/>
      <c r="BI74" s="70"/>
      <c r="BJ74" s="64"/>
      <c r="BK74" s="65" t="s">
        <v>68</v>
      </c>
      <c r="BL74" s="62">
        <v>0.0</v>
      </c>
      <c r="BM74" s="62">
        <v>1.0</v>
      </c>
      <c r="BN74" s="66" t="s">
        <v>69</v>
      </c>
      <c r="BO74" s="54"/>
      <c r="BP74" s="54"/>
      <c r="BQ74" s="67">
        <v>0.0</v>
      </c>
      <c r="BR74" s="78"/>
      <c r="BS74" s="70"/>
      <c r="BT74" s="64"/>
      <c r="BU74" s="65" t="s">
        <v>68</v>
      </c>
      <c r="BV74" s="62"/>
      <c r="BW74" s="62"/>
      <c r="BX74" s="66" t="s">
        <v>69</v>
      </c>
      <c r="BY74" s="54"/>
      <c r="BZ74" s="54"/>
      <c r="CA74" s="67">
        <v>0.0</v>
      </c>
      <c r="CB74" s="78"/>
      <c r="CC74" s="70"/>
      <c r="CD74" s="64"/>
      <c r="CE74" s="65" t="s">
        <v>68</v>
      </c>
      <c r="CF74" s="62">
        <v>1.0</v>
      </c>
      <c r="CG74" s="62">
        <v>0.0</v>
      </c>
      <c r="CH74" s="66" t="s">
        <v>69</v>
      </c>
      <c r="CI74" s="54"/>
      <c r="CJ74" s="54"/>
      <c r="CK74" s="67">
        <v>0.0</v>
      </c>
      <c r="CL74" s="78"/>
      <c r="CM74" s="70"/>
      <c r="CN74" s="72"/>
      <c r="CO74" s="73" t="s">
        <v>68</v>
      </c>
      <c r="CP74" s="74"/>
      <c r="CQ74" s="74"/>
      <c r="CR74" s="21" t="s">
        <v>69</v>
      </c>
      <c r="CS74" s="21"/>
      <c r="CT74" s="21"/>
      <c r="CU74" s="103">
        <v>0.0</v>
      </c>
      <c r="CV74" s="75"/>
      <c r="CW74" s="76"/>
    </row>
    <row r="75" ht="15.75" customHeight="1">
      <c r="A75" s="50"/>
      <c r="B75" s="59">
        <v>68.0</v>
      </c>
      <c r="C75" s="59" t="s">
        <v>66</v>
      </c>
      <c r="D75" s="60">
        <v>46200.0</v>
      </c>
      <c r="E75" s="61" t="s">
        <v>70</v>
      </c>
      <c r="F75" s="77"/>
      <c r="G75" s="77"/>
      <c r="H75" s="63" t="s">
        <v>67</v>
      </c>
      <c r="I75" s="33"/>
      <c r="J75" s="33"/>
      <c r="K75" s="52"/>
      <c r="L75" s="64"/>
      <c r="M75" s="65" t="s">
        <v>70</v>
      </c>
      <c r="N75" s="77"/>
      <c r="O75" s="77"/>
      <c r="P75" s="66" t="s">
        <v>67</v>
      </c>
      <c r="Q75" s="54"/>
      <c r="R75" s="54"/>
      <c r="S75" s="67">
        <v>0.0</v>
      </c>
      <c r="T75" s="78"/>
      <c r="U75" s="70"/>
      <c r="V75" s="64"/>
      <c r="W75" s="65" t="s">
        <v>70</v>
      </c>
      <c r="X75" s="77"/>
      <c r="Y75" s="77"/>
      <c r="Z75" s="66" t="s">
        <v>67</v>
      </c>
      <c r="AA75" s="54"/>
      <c r="AB75" s="54"/>
      <c r="AC75" s="67">
        <v>0.0</v>
      </c>
      <c r="AD75" s="78"/>
      <c r="AE75" s="70"/>
      <c r="AF75" s="64"/>
      <c r="AG75" s="65" t="s">
        <v>70</v>
      </c>
      <c r="AH75" s="77"/>
      <c r="AI75" s="77"/>
      <c r="AJ75" s="66" t="s">
        <v>67</v>
      </c>
      <c r="AK75" s="54"/>
      <c r="AL75" s="54"/>
      <c r="AM75" s="67">
        <v>0.0</v>
      </c>
      <c r="AN75" s="78"/>
      <c r="AO75" s="70"/>
      <c r="AP75" s="64"/>
      <c r="AQ75" s="65" t="s">
        <v>70</v>
      </c>
      <c r="AR75" s="77"/>
      <c r="AS75" s="77"/>
      <c r="AT75" s="66" t="s">
        <v>67</v>
      </c>
      <c r="AU75" s="54"/>
      <c r="AV75" s="54"/>
      <c r="AW75" s="67">
        <v>0.0</v>
      </c>
      <c r="AX75" s="78"/>
      <c r="AY75" s="70"/>
      <c r="AZ75" s="64"/>
      <c r="BA75" s="65" t="s">
        <v>70</v>
      </c>
      <c r="BB75" s="77"/>
      <c r="BC75" s="77"/>
      <c r="BD75" s="66" t="s">
        <v>67</v>
      </c>
      <c r="BE75" s="54"/>
      <c r="BF75" s="54"/>
      <c r="BG75" s="67">
        <v>0.0</v>
      </c>
      <c r="BH75" s="78"/>
      <c r="BI75" s="70"/>
      <c r="BJ75" s="64"/>
      <c r="BK75" s="65" t="s">
        <v>70</v>
      </c>
      <c r="BL75" s="62">
        <v>0.0</v>
      </c>
      <c r="BM75" s="62">
        <v>2.0</v>
      </c>
      <c r="BN75" s="66" t="s">
        <v>67</v>
      </c>
      <c r="BO75" s="54"/>
      <c r="BP75" s="54"/>
      <c r="BQ75" s="67">
        <v>0.0</v>
      </c>
      <c r="BR75" s="78"/>
      <c r="BS75" s="70"/>
      <c r="BT75" s="64"/>
      <c r="BU75" s="65" t="s">
        <v>70</v>
      </c>
      <c r="BV75" s="62"/>
      <c r="BW75" s="62"/>
      <c r="BX75" s="66" t="s">
        <v>67</v>
      </c>
      <c r="BY75" s="54"/>
      <c r="BZ75" s="54"/>
      <c r="CA75" s="67">
        <v>0.0</v>
      </c>
      <c r="CB75" s="78"/>
      <c r="CC75" s="70"/>
      <c r="CD75" s="64"/>
      <c r="CE75" s="65" t="s">
        <v>70</v>
      </c>
      <c r="CF75" s="62">
        <v>0.0</v>
      </c>
      <c r="CG75" s="62">
        <v>3.0</v>
      </c>
      <c r="CH75" s="66" t="s">
        <v>67</v>
      </c>
      <c r="CI75" s="54"/>
      <c r="CJ75" s="54"/>
      <c r="CK75" s="67">
        <v>0.0</v>
      </c>
      <c r="CL75" s="78"/>
      <c r="CM75" s="70"/>
      <c r="CN75" s="72"/>
      <c r="CO75" s="73" t="s">
        <v>70</v>
      </c>
      <c r="CP75" s="74"/>
      <c r="CQ75" s="74"/>
      <c r="CR75" s="21" t="s">
        <v>67</v>
      </c>
      <c r="CS75" s="21"/>
      <c r="CT75" s="21"/>
      <c r="CU75" s="103">
        <v>0.0</v>
      </c>
      <c r="CV75" s="75"/>
      <c r="CW75" s="76"/>
    </row>
    <row r="76" ht="15.75" customHeight="1">
      <c r="A76" s="50"/>
      <c r="B76" s="59">
        <v>69.0</v>
      </c>
      <c r="C76" s="59" t="s">
        <v>71</v>
      </c>
      <c r="D76" s="60">
        <v>46200.0</v>
      </c>
      <c r="E76" s="61" t="s">
        <v>75</v>
      </c>
      <c r="F76" s="77"/>
      <c r="G76" s="77"/>
      <c r="H76" s="63" t="s">
        <v>72</v>
      </c>
      <c r="I76" s="33"/>
      <c r="J76" s="33"/>
      <c r="K76" s="52"/>
      <c r="L76" s="64"/>
      <c r="M76" s="65" t="s">
        <v>75</v>
      </c>
      <c r="N76" s="77"/>
      <c r="O76" s="77"/>
      <c r="P76" s="66" t="s">
        <v>72</v>
      </c>
      <c r="Q76" s="54"/>
      <c r="R76" s="54"/>
      <c r="S76" s="67">
        <v>0.0</v>
      </c>
      <c r="T76" s="78"/>
      <c r="U76" s="70"/>
      <c r="V76" s="64"/>
      <c r="W76" s="65" t="s">
        <v>75</v>
      </c>
      <c r="X76" s="77"/>
      <c r="Y76" s="77"/>
      <c r="Z76" s="66" t="s">
        <v>72</v>
      </c>
      <c r="AA76" s="54"/>
      <c r="AB76" s="54"/>
      <c r="AC76" s="67">
        <v>0.0</v>
      </c>
      <c r="AD76" s="78"/>
      <c r="AE76" s="70"/>
      <c r="AF76" s="64"/>
      <c r="AG76" s="65" t="s">
        <v>75</v>
      </c>
      <c r="AH76" s="77"/>
      <c r="AI76" s="77"/>
      <c r="AJ76" s="66" t="s">
        <v>72</v>
      </c>
      <c r="AK76" s="54"/>
      <c r="AL76" s="54"/>
      <c r="AM76" s="67">
        <v>0.0</v>
      </c>
      <c r="AN76" s="78"/>
      <c r="AO76" s="70"/>
      <c r="AP76" s="64"/>
      <c r="AQ76" s="65" t="s">
        <v>75</v>
      </c>
      <c r="AR76" s="77"/>
      <c r="AS76" s="77"/>
      <c r="AT76" s="66" t="s">
        <v>72</v>
      </c>
      <c r="AU76" s="54"/>
      <c r="AV76" s="54"/>
      <c r="AW76" s="67">
        <v>0.0</v>
      </c>
      <c r="AX76" s="78"/>
      <c r="AY76" s="70"/>
      <c r="AZ76" s="64"/>
      <c r="BA76" s="65" t="s">
        <v>75</v>
      </c>
      <c r="BB76" s="77"/>
      <c r="BC76" s="77"/>
      <c r="BD76" s="66" t="s">
        <v>72</v>
      </c>
      <c r="BE76" s="54"/>
      <c r="BF76" s="54"/>
      <c r="BG76" s="67">
        <v>0.0</v>
      </c>
      <c r="BH76" s="78"/>
      <c r="BI76" s="70"/>
      <c r="BJ76" s="64"/>
      <c r="BK76" s="65" t="s">
        <v>75</v>
      </c>
      <c r="BL76" s="62">
        <v>2.0</v>
      </c>
      <c r="BM76" s="62">
        <v>3.0</v>
      </c>
      <c r="BN76" s="66" t="s">
        <v>72</v>
      </c>
      <c r="BO76" s="54"/>
      <c r="BP76" s="54"/>
      <c r="BQ76" s="67">
        <v>0.0</v>
      </c>
      <c r="BR76" s="78"/>
      <c r="BS76" s="70"/>
      <c r="BT76" s="64"/>
      <c r="BU76" s="65" t="s">
        <v>75</v>
      </c>
      <c r="BV76" s="62"/>
      <c r="BW76" s="62"/>
      <c r="BX76" s="66" t="s">
        <v>72</v>
      </c>
      <c r="BY76" s="54"/>
      <c r="BZ76" s="54"/>
      <c r="CA76" s="67">
        <v>0.0</v>
      </c>
      <c r="CB76" s="78"/>
      <c r="CC76" s="70"/>
      <c r="CD76" s="64"/>
      <c r="CE76" s="65" t="s">
        <v>75</v>
      </c>
      <c r="CF76" s="62">
        <v>1.0</v>
      </c>
      <c r="CG76" s="62">
        <v>3.0</v>
      </c>
      <c r="CH76" s="66" t="s">
        <v>72</v>
      </c>
      <c r="CI76" s="54"/>
      <c r="CJ76" s="54"/>
      <c r="CK76" s="67">
        <v>0.0</v>
      </c>
      <c r="CL76" s="78"/>
      <c r="CM76" s="70"/>
      <c r="CN76" s="72"/>
      <c r="CO76" s="73" t="s">
        <v>75</v>
      </c>
      <c r="CP76" s="74"/>
      <c r="CQ76" s="74"/>
      <c r="CR76" s="21" t="s">
        <v>72</v>
      </c>
      <c r="CS76" s="21"/>
      <c r="CT76" s="21"/>
      <c r="CU76" s="103">
        <v>0.0</v>
      </c>
      <c r="CV76" s="75"/>
      <c r="CW76" s="76"/>
    </row>
    <row r="77" ht="15.75" customHeight="1">
      <c r="A77" s="50"/>
      <c r="B77" s="59">
        <v>70.0</v>
      </c>
      <c r="C77" s="59" t="s">
        <v>71</v>
      </c>
      <c r="D77" s="60">
        <v>46200.0</v>
      </c>
      <c r="E77" s="61" t="s">
        <v>73</v>
      </c>
      <c r="F77" s="77"/>
      <c r="G77" s="77"/>
      <c r="H77" s="63" t="s">
        <v>74</v>
      </c>
      <c r="I77" s="33"/>
      <c r="J77" s="33"/>
      <c r="K77" s="52"/>
      <c r="L77" s="64"/>
      <c r="M77" s="65" t="s">
        <v>73</v>
      </c>
      <c r="N77" s="77"/>
      <c r="O77" s="77"/>
      <c r="P77" s="66" t="s">
        <v>74</v>
      </c>
      <c r="Q77" s="54"/>
      <c r="R77" s="54"/>
      <c r="S77" s="67">
        <v>0.0</v>
      </c>
      <c r="T77" s="78"/>
      <c r="U77" s="70"/>
      <c r="V77" s="64"/>
      <c r="W77" s="65" t="s">
        <v>73</v>
      </c>
      <c r="X77" s="77"/>
      <c r="Y77" s="77"/>
      <c r="Z77" s="66" t="s">
        <v>74</v>
      </c>
      <c r="AA77" s="54"/>
      <c r="AB77" s="54"/>
      <c r="AC77" s="67">
        <v>0.0</v>
      </c>
      <c r="AD77" s="78"/>
      <c r="AE77" s="70"/>
      <c r="AF77" s="64"/>
      <c r="AG77" s="65" t="s">
        <v>73</v>
      </c>
      <c r="AH77" s="77"/>
      <c r="AI77" s="77"/>
      <c r="AJ77" s="66" t="s">
        <v>74</v>
      </c>
      <c r="AK77" s="54"/>
      <c r="AL77" s="54"/>
      <c r="AM77" s="67">
        <v>0.0</v>
      </c>
      <c r="AN77" s="78"/>
      <c r="AO77" s="70"/>
      <c r="AP77" s="64"/>
      <c r="AQ77" s="65" t="s">
        <v>73</v>
      </c>
      <c r="AR77" s="77"/>
      <c r="AS77" s="77"/>
      <c r="AT77" s="66" t="s">
        <v>74</v>
      </c>
      <c r="AU77" s="54"/>
      <c r="AV77" s="54"/>
      <c r="AW77" s="67">
        <v>0.0</v>
      </c>
      <c r="AX77" s="78"/>
      <c r="AY77" s="70"/>
      <c r="AZ77" s="64"/>
      <c r="BA77" s="65" t="s">
        <v>73</v>
      </c>
      <c r="BB77" s="77"/>
      <c r="BC77" s="77"/>
      <c r="BD77" s="66" t="s">
        <v>74</v>
      </c>
      <c r="BE77" s="54"/>
      <c r="BF77" s="54"/>
      <c r="BG77" s="67">
        <v>0.0</v>
      </c>
      <c r="BH77" s="78"/>
      <c r="BI77" s="70"/>
      <c r="BJ77" s="64"/>
      <c r="BK77" s="65" t="s">
        <v>73</v>
      </c>
      <c r="BL77" s="62">
        <v>1.0</v>
      </c>
      <c r="BM77" s="62">
        <v>0.0</v>
      </c>
      <c r="BN77" s="66" t="s">
        <v>74</v>
      </c>
      <c r="BO77" s="54"/>
      <c r="BP77" s="54"/>
      <c r="BQ77" s="67">
        <v>0.0</v>
      </c>
      <c r="BR77" s="78"/>
      <c r="BS77" s="70"/>
      <c r="BT77" s="64"/>
      <c r="BU77" s="65" t="s">
        <v>73</v>
      </c>
      <c r="BV77" s="62"/>
      <c r="BW77" s="62"/>
      <c r="BX77" s="66" t="s">
        <v>74</v>
      </c>
      <c r="BY77" s="54"/>
      <c r="BZ77" s="54"/>
      <c r="CA77" s="67">
        <v>0.0</v>
      </c>
      <c r="CB77" s="78"/>
      <c r="CC77" s="70"/>
      <c r="CD77" s="64"/>
      <c r="CE77" s="65" t="s">
        <v>73</v>
      </c>
      <c r="CF77" s="62">
        <v>1.0</v>
      </c>
      <c r="CG77" s="62">
        <v>1.0</v>
      </c>
      <c r="CH77" s="66" t="s">
        <v>74</v>
      </c>
      <c r="CI77" s="54"/>
      <c r="CJ77" s="54"/>
      <c r="CK77" s="67">
        <v>0.0</v>
      </c>
      <c r="CL77" s="78"/>
      <c r="CM77" s="70"/>
      <c r="CN77" s="72"/>
      <c r="CO77" s="73" t="s">
        <v>73</v>
      </c>
      <c r="CP77" s="74"/>
      <c r="CQ77" s="74"/>
      <c r="CR77" s="21" t="s">
        <v>74</v>
      </c>
      <c r="CS77" s="21"/>
      <c r="CT77" s="21"/>
      <c r="CU77" s="103">
        <v>0.0</v>
      </c>
      <c r="CV77" s="75"/>
      <c r="CW77" s="76"/>
    </row>
    <row r="78" ht="15.75" customHeight="1">
      <c r="A78" s="50"/>
      <c r="B78" s="59">
        <v>71.0</v>
      </c>
      <c r="C78" s="59" t="s">
        <v>76</v>
      </c>
      <c r="D78" s="60">
        <v>46200.0</v>
      </c>
      <c r="E78" s="61" t="s">
        <v>80</v>
      </c>
      <c r="F78" s="77"/>
      <c r="G78" s="77"/>
      <c r="H78" s="63" t="s">
        <v>77</v>
      </c>
      <c r="I78" s="33"/>
      <c r="J78" s="33"/>
      <c r="K78" s="52"/>
      <c r="L78" s="64"/>
      <c r="M78" s="65" t="s">
        <v>80</v>
      </c>
      <c r="N78" s="77"/>
      <c r="O78" s="77"/>
      <c r="P78" s="66" t="s">
        <v>77</v>
      </c>
      <c r="Q78" s="54"/>
      <c r="R78" s="54"/>
      <c r="S78" s="67">
        <v>0.0</v>
      </c>
      <c r="T78" s="78"/>
      <c r="U78" s="70"/>
      <c r="V78" s="64"/>
      <c r="W78" s="65" t="s">
        <v>80</v>
      </c>
      <c r="X78" s="77"/>
      <c r="Y78" s="77"/>
      <c r="Z78" s="66" t="s">
        <v>77</v>
      </c>
      <c r="AA78" s="54"/>
      <c r="AB78" s="54"/>
      <c r="AC78" s="67">
        <v>0.0</v>
      </c>
      <c r="AD78" s="78"/>
      <c r="AE78" s="70"/>
      <c r="AF78" s="64"/>
      <c r="AG78" s="65" t="s">
        <v>80</v>
      </c>
      <c r="AH78" s="77"/>
      <c r="AI78" s="77"/>
      <c r="AJ78" s="66" t="s">
        <v>77</v>
      </c>
      <c r="AK78" s="54"/>
      <c r="AL78" s="54"/>
      <c r="AM78" s="67">
        <v>0.0</v>
      </c>
      <c r="AN78" s="78"/>
      <c r="AO78" s="70"/>
      <c r="AP78" s="64"/>
      <c r="AQ78" s="65" t="s">
        <v>80</v>
      </c>
      <c r="AR78" s="77"/>
      <c r="AS78" s="77"/>
      <c r="AT78" s="66" t="s">
        <v>77</v>
      </c>
      <c r="AU78" s="54"/>
      <c r="AV78" s="54"/>
      <c r="AW78" s="67">
        <v>0.0</v>
      </c>
      <c r="AX78" s="78"/>
      <c r="AY78" s="70"/>
      <c r="AZ78" s="64"/>
      <c r="BA78" s="65" t="s">
        <v>80</v>
      </c>
      <c r="BB78" s="77"/>
      <c r="BC78" s="77"/>
      <c r="BD78" s="66" t="s">
        <v>77</v>
      </c>
      <c r="BE78" s="54"/>
      <c r="BF78" s="54"/>
      <c r="BG78" s="67">
        <v>0.0</v>
      </c>
      <c r="BH78" s="78"/>
      <c r="BI78" s="70"/>
      <c r="BJ78" s="64"/>
      <c r="BK78" s="65" t="s">
        <v>80</v>
      </c>
      <c r="BL78" s="62">
        <v>0.0</v>
      </c>
      <c r="BM78" s="62">
        <v>2.0</v>
      </c>
      <c r="BN78" s="66" t="s">
        <v>77</v>
      </c>
      <c r="BO78" s="54"/>
      <c r="BP78" s="54"/>
      <c r="BQ78" s="67">
        <v>0.0</v>
      </c>
      <c r="BR78" s="78"/>
      <c r="BS78" s="70"/>
      <c r="BT78" s="64"/>
      <c r="BU78" s="65" t="s">
        <v>80</v>
      </c>
      <c r="BV78" s="62"/>
      <c r="BW78" s="62"/>
      <c r="BX78" s="66" t="s">
        <v>77</v>
      </c>
      <c r="BY78" s="54"/>
      <c r="BZ78" s="54"/>
      <c r="CA78" s="67">
        <v>0.0</v>
      </c>
      <c r="CB78" s="78"/>
      <c r="CC78" s="70"/>
      <c r="CD78" s="64"/>
      <c r="CE78" s="65" t="s">
        <v>80</v>
      </c>
      <c r="CF78" s="62">
        <v>0.0</v>
      </c>
      <c r="CG78" s="62">
        <v>2.0</v>
      </c>
      <c r="CH78" s="66" t="s">
        <v>77</v>
      </c>
      <c r="CI78" s="54"/>
      <c r="CJ78" s="54"/>
      <c r="CK78" s="67">
        <v>0.0</v>
      </c>
      <c r="CL78" s="78"/>
      <c r="CM78" s="70"/>
      <c r="CN78" s="72"/>
      <c r="CO78" s="73" t="s">
        <v>80</v>
      </c>
      <c r="CP78" s="74"/>
      <c r="CQ78" s="74"/>
      <c r="CR78" s="21" t="s">
        <v>77</v>
      </c>
      <c r="CS78" s="21"/>
      <c r="CT78" s="21"/>
      <c r="CU78" s="103">
        <v>0.0</v>
      </c>
      <c r="CV78" s="75"/>
      <c r="CW78" s="76"/>
    </row>
    <row r="79" ht="15.75" customHeight="1">
      <c r="A79" s="50"/>
      <c r="B79" s="59">
        <v>72.0</v>
      </c>
      <c r="C79" s="59" t="s">
        <v>76</v>
      </c>
      <c r="D79" s="60">
        <v>46200.0</v>
      </c>
      <c r="E79" s="61" t="s">
        <v>78</v>
      </c>
      <c r="F79" s="77"/>
      <c r="G79" s="77"/>
      <c r="H79" s="63" t="s">
        <v>79</v>
      </c>
      <c r="I79" s="33"/>
      <c r="J79" s="33"/>
      <c r="K79" s="52"/>
      <c r="L79" s="64"/>
      <c r="M79" s="65" t="s">
        <v>78</v>
      </c>
      <c r="N79" s="77"/>
      <c r="O79" s="77"/>
      <c r="P79" s="66" t="s">
        <v>79</v>
      </c>
      <c r="Q79" s="54"/>
      <c r="R79" s="54"/>
      <c r="S79" s="67">
        <v>0.0</v>
      </c>
      <c r="T79" s="78"/>
      <c r="U79" s="70"/>
      <c r="V79" s="64"/>
      <c r="W79" s="65" t="s">
        <v>78</v>
      </c>
      <c r="X79" s="77"/>
      <c r="Y79" s="77"/>
      <c r="Z79" s="66" t="s">
        <v>79</v>
      </c>
      <c r="AA79" s="54"/>
      <c r="AB79" s="54"/>
      <c r="AC79" s="67">
        <v>0.0</v>
      </c>
      <c r="AD79" s="78"/>
      <c r="AE79" s="70"/>
      <c r="AF79" s="64"/>
      <c r="AG79" s="65" t="s">
        <v>78</v>
      </c>
      <c r="AH79" s="77"/>
      <c r="AI79" s="77"/>
      <c r="AJ79" s="66" t="s">
        <v>79</v>
      </c>
      <c r="AK79" s="54"/>
      <c r="AL79" s="54"/>
      <c r="AM79" s="67">
        <v>0.0</v>
      </c>
      <c r="AN79" s="78"/>
      <c r="AO79" s="70"/>
      <c r="AP79" s="64"/>
      <c r="AQ79" s="65" t="s">
        <v>78</v>
      </c>
      <c r="AR79" s="77"/>
      <c r="AS79" s="77"/>
      <c r="AT79" s="66" t="s">
        <v>79</v>
      </c>
      <c r="AU79" s="54"/>
      <c r="AV79" s="54"/>
      <c r="AW79" s="67">
        <v>0.0</v>
      </c>
      <c r="AX79" s="78"/>
      <c r="AY79" s="70"/>
      <c r="AZ79" s="64"/>
      <c r="BA79" s="65" t="s">
        <v>78</v>
      </c>
      <c r="BB79" s="77"/>
      <c r="BC79" s="77"/>
      <c r="BD79" s="66" t="s">
        <v>79</v>
      </c>
      <c r="BE79" s="54"/>
      <c r="BF79" s="54"/>
      <c r="BG79" s="67">
        <v>0.0</v>
      </c>
      <c r="BH79" s="78"/>
      <c r="BI79" s="70"/>
      <c r="BJ79" s="64"/>
      <c r="BK79" s="65" t="s">
        <v>78</v>
      </c>
      <c r="BL79" s="62">
        <v>1.0</v>
      </c>
      <c r="BM79" s="62">
        <v>0.0</v>
      </c>
      <c r="BN79" s="66" t="s">
        <v>79</v>
      </c>
      <c r="BO79" s="54"/>
      <c r="BP79" s="54"/>
      <c r="BQ79" s="67">
        <v>0.0</v>
      </c>
      <c r="BR79" s="78"/>
      <c r="BS79" s="70"/>
      <c r="BT79" s="64"/>
      <c r="BU79" s="65" t="s">
        <v>78</v>
      </c>
      <c r="BV79" s="62"/>
      <c r="BW79" s="62"/>
      <c r="BX79" s="66" t="s">
        <v>79</v>
      </c>
      <c r="BY79" s="54"/>
      <c r="BZ79" s="54"/>
      <c r="CA79" s="67">
        <v>0.0</v>
      </c>
      <c r="CB79" s="78"/>
      <c r="CC79" s="70"/>
      <c r="CD79" s="64"/>
      <c r="CE79" s="65" t="s">
        <v>78</v>
      </c>
      <c r="CF79" s="62">
        <v>2.0</v>
      </c>
      <c r="CG79" s="62">
        <v>1.0</v>
      </c>
      <c r="CH79" s="66" t="s">
        <v>79</v>
      </c>
      <c r="CI79" s="54"/>
      <c r="CJ79" s="54"/>
      <c r="CK79" s="67">
        <v>0.0</v>
      </c>
      <c r="CL79" s="78"/>
      <c r="CM79" s="70"/>
      <c r="CN79" s="72"/>
      <c r="CO79" s="73" t="s">
        <v>78</v>
      </c>
      <c r="CP79" s="74"/>
      <c r="CQ79" s="74"/>
      <c r="CR79" s="21" t="s">
        <v>79</v>
      </c>
      <c r="CS79" s="21"/>
      <c r="CT79" s="21"/>
      <c r="CU79" s="103">
        <v>0.0</v>
      </c>
      <c r="CV79" s="75"/>
      <c r="CW79" s="76"/>
    </row>
    <row r="80" ht="15.75" customHeight="1">
      <c r="A80" s="50"/>
      <c r="B80" s="59"/>
      <c r="C80" s="59"/>
      <c r="D80" s="60"/>
      <c r="E80" s="59"/>
      <c r="F80" s="51"/>
      <c r="G80" s="51"/>
      <c r="H80" s="59"/>
      <c r="I80" s="33"/>
      <c r="J80" s="33"/>
      <c r="K80" s="52"/>
      <c r="L80" s="64"/>
      <c r="M80" s="65"/>
      <c r="N80" s="55"/>
      <c r="O80" s="55"/>
      <c r="P80" s="66"/>
      <c r="Q80" s="54"/>
      <c r="R80" s="54"/>
      <c r="S80" s="67"/>
      <c r="T80" s="78"/>
      <c r="U80" s="70"/>
      <c r="V80" s="64"/>
      <c r="W80" s="65"/>
      <c r="X80" s="55"/>
      <c r="Y80" s="55"/>
      <c r="Z80" s="66"/>
      <c r="AA80" s="54"/>
      <c r="AB80" s="54"/>
      <c r="AC80" s="67"/>
      <c r="AD80" s="78"/>
      <c r="AE80" s="70"/>
      <c r="AF80" s="64"/>
      <c r="AG80" s="65"/>
      <c r="AH80" s="55"/>
      <c r="AI80" s="55"/>
      <c r="AJ80" s="66"/>
      <c r="AK80" s="54"/>
      <c r="AL80" s="54"/>
      <c r="AM80" s="67"/>
      <c r="AN80" s="78"/>
      <c r="AO80" s="70"/>
      <c r="AP80" s="64"/>
      <c r="AQ80" s="65"/>
      <c r="AR80" s="55"/>
      <c r="AS80" s="55"/>
      <c r="AT80" s="66"/>
      <c r="AU80" s="54"/>
      <c r="AV80" s="54"/>
      <c r="AW80" s="67"/>
      <c r="AX80" s="78"/>
      <c r="AY80" s="70"/>
      <c r="AZ80" s="64"/>
      <c r="BA80" s="65"/>
      <c r="BB80" s="55"/>
      <c r="BC80" s="55"/>
      <c r="BD80" s="66"/>
      <c r="BE80" s="54"/>
      <c r="BF80" s="54"/>
      <c r="BG80" s="67"/>
      <c r="BH80" s="78"/>
      <c r="BI80" s="70"/>
      <c r="BJ80" s="64"/>
      <c r="BK80" s="65"/>
      <c r="BL80" s="55"/>
      <c r="BM80" s="55"/>
      <c r="BN80" s="66"/>
      <c r="BO80" s="54"/>
      <c r="BP80" s="54"/>
      <c r="BQ80" s="67"/>
      <c r="BR80" s="78"/>
      <c r="BS80" s="70"/>
      <c r="BT80" s="64"/>
      <c r="BU80" s="65"/>
      <c r="BV80" s="55"/>
      <c r="BW80" s="55"/>
      <c r="BX80" s="66"/>
      <c r="BY80" s="54"/>
      <c r="BZ80" s="54"/>
      <c r="CA80" s="67"/>
      <c r="CB80" s="78"/>
      <c r="CC80" s="70"/>
      <c r="CD80" s="64"/>
      <c r="CE80" s="65"/>
      <c r="CF80" s="55"/>
      <c r="CG80" s="55"/>
      <c r="CH80" s="66"/>
      <c r="CI80" s="54"/>
      <c r="CJ80" s="54"/>
      <c r="CK80" s="67"/>
      <c r="CL80" s="78"/>
      <c r="CM80" s="70"/>
      <c r="CN80" s="72"/>
      <c r="CO80" s="21"/>
      <c r="CP80" s="21"/>
      <c r="CQ80" s="21"/>
      <c r="CR80" s="21"/>
      <c r="CS80" s="21"/>
      <c r="CT80" s="21"/>
      <c r="CU80" s="21"/>
      <c r="CV80" s="75"/>
      <c r="CW80" s="76"/>
    </row>
    <row r="81" ht="15.75" customHeight="1">
      <c r="A81" s="105" t="s">
        <v>81</v>
      </c>
      <c r="B81" s="46"/>
      <c r="C81" s="46"/>
      <c r="D81" s="46"/>
      <c r="E81" s="46"/>
      <c r="F81" s="46"/>
      <c r="G81" s="46"/>
      <c r="H81" s="46"/>
      <c r="I81" s="46"/>
      <c r="J81" s="46"/>
      <c r="K81" s="106"/>
      <c r="L81" s="45"/>
      <c r="M81" s="46"/>
      <c r="N81" s="46"/>
      <c r="O81" s="46"/>
      <c r="P81" s="46"/>
      <c r="Q81" s="46"/>
      <c r="R81" s="46"/>
      <c r="S81" s="46"/>
      <c r="T81" s="46"/>
      <c r="U81" s="106"/>
      <c r="V81" s="45"/>
      <c r="W81" s="46"/>
      <c r="X81" s="46"/>
      <c r="Y81" s="46"/>
      <c r="Z81" s="46"/>
      <c r="AA81" s="46"/>
      <c r="AB81" s="46"/>
      <c r="AC81" s="46"/>
      <c r="AD81" s="46"/>
      <c r="AE81" s="106"/>
      <c r="AF81" s="45"/>
      <c r="AG81" s="46"/>
      <c r="AH81" s="46"/>
      <c r="AI81" s="46"/>
      <c r="AJ81" s="46"/>
      <c r="AK81" s="46"/>
      <c r="AL81" s="46"/>
      <c r="AM81" s="46"/>
      <c r="AN81" s="46"/>
      <c r="AO81" s="106"/>
      <c r="AP81" s="45"/>
      <c r="AQ81" s="46"/>
      <c r="AR81" s="46"/>
      <c r="AS81" s="46"/>
      <c r="AT81" s="46"/>
      <c r="AU81" s="46"/>
      <c r="AV81" s="46"/>
      <c r="AW81" s="46"/>
      <c r="AX81" s="46"/>
      <c r="AY81" s="106"/>
      <c r="AZ81" s="45"/>
      <c r="BA81" s="46"/>
      <c r="BB81" s="46"/>
      <c r="BC81" s="46"/>
      <c r="BD81" s="46"/>
      <c r="BE81" s="46"/>
      <c r="BF81" s="46"/>
      <c r="BG81" s="46"/>
      <c r="BH81" s="46"/>
      <c r="BI81" s="106"/>
      <c r="BJ81" s="45"/>
      <c r="BK81" s="46"/>
      <c r="BL81" s="46"/>
      <c r="BM81" s="46"/>
      <c r="BN81" s="46"/>
      <c r="BO81" s="46"/>
      <c r="BP81" s="46"/>
      <c r="BQ81" s="46"/>
      <c r="BR81" s="46"/>
      <c r="BS81" s="106"/>
      <c r="BT81" s="45"/>
      <c r="BU81" s="46"/>
      <c r="BV81" s="46"/>
      <c r="BW81" s="46"/>
      <c r="BX81" s="46"/>
      <c r="BY81" s="46"/>
      <c r="BZ81" s="46"/>
      <c r="CA81" s="46"/>
      <c r="CB81" s="46"/>
      <c r="CC81" s="106"/>
      <c r="CD81" s="45"/>
      <c r="CE81" s="46"/>
      <c r="CF81" s="46"/>
      <c r="CG81" s="46"/>
      <c r="CH81" s="46"/>
      <c r="CI81" s="46"/>
      <c r="CJ81" s="46"/>
      <c r="CK81" s="46"/>
      <c r="CL81" s="46"/>
      <c r="CM81" s="106"/>
      <c r="CN81" s="48"/>
      <c r="CO81" s="49"/>
      <c r="CP81" s="49"/>
      <c r="CQ81" s="49"/>
      <c r="CR81" s="49"/>
      <c r="CS81" s="49"/>
      <c r="CT81" s="49"/>
      <c r="CU81" s="49"/>
      <c r="CV81" s="49"/>
      <c r="CW81" s="107"/>
    </row>
    <row r="82" ht="15.75" customHeight="1">
      <c r="A82" s="50"/>
      <c r="B82" s="51"/>
      <c r="C82" s="51"/>
      <c r="D82" s="51"/>
      <c r="E82" s="51"/>
      <c r="F82" s="51"/>
      <c r="G82" s="51"/>
      <c r="H82" s="51"/>
      <c r="I82" s="51"/>
      <c r="J82" s="51"/>
      <c r="K82" s="52"/>
      <c r="L82" s="64"/>
      <c r="M82" s="54"/>
      <c r="N82" s="55"/>
      <c r="O82" s="55"/>
      <c r="P82" s="54"/>
      <c r="Q82" s="54"/>
      <c r="R82" s="54"/>
      <c r="S82" s="16"/>
      <c r="T82" s="55"/>
      <c r="U82" s="70"/>
      <c r="V82" s="64"/>
      <c r="W82" s="54"/>
      <c r="X82" s="55"/>
      <c r="Y82" s="55"/>
      <c r="Z82" s="54"/>
      <c r="AA82" s="54"/>
      <c r="AB82" s="54"/>
      <c r="AC82" s="16"/>
      <c r="AD82" s="55"/>
      <c r="AE82" s="70"/>
      <c r="AF82" s="64"/>
      <c r="AG82" s="54"/>
      <c r="AH82" s="55"/>
      <c r="AI82" s="55"/>
      <c r="AJ82" s="54"/>
      <c r="AK82" s="54"/>
      <c r="AL82" s="54"/>
      <c r="AM82" s="16"/>
      <c r="AN82" s="55"/>
      <c r="AO82" s="70"/>
      <c r="AP82" s="64"/>
      <c r="AQ82" s="54"/>
      <c r="AR82" s="55"/>
      <c r="AS82" s="55"/>
      <c r="AT82" s="54"/>
      <c r="AU82" s="54"/>
      <c r="AV82" s="54"/>
      <c r="AW82" s="16"/>
      <c r="AX82" s="55"/>
      <c r="AY82" s="70"/>
      <c r="AZ82" s="64"/>
      <c r="BA82" s="54"/>
      <c r="BB82" s="55"/>
      <c r="BC82" s="55"/>
      <c r="BD82" s="54"/>
      <c r="BE82" s="54"/>
      <c r="BF82" s="54"/>
      <c r="BG82" s="16"/>
      <c r="BH82" s="55"/>
      <c r="BI82" s="70"/>
      <c r="BJ82" s="64"/>
      <c r="BK82" s="54"/>
      <c r="BL82" s="55"/>
      <c r="BM82" s="55"/>
      <c r="BN82" s="54"/>
      <c r="BO82" s="54"/>
      <c r="BP82" s="54"/>
      <c r="BQ82" s="16"/>
      <c r="BR82" s="55"/>
      <c r="BS82" s="70"/>
      <c r="BT82" s="64"/>
      <c r="BU82" s="54"/>
      <c r="BV82" s="55"/>
      <c r="BW82" s="55"/>
      <c r="BX82" s="54"/>
      <c r="BY82" s="54"/>
      <c r="BZ82" s="54"/>
      <c r="CA82" s="16"/>
      <c r="CB82" s="55"/>
      <c r="CC82" s="70"/>
      <c r="CD82" s="64"/>
      <c r="CE82" s="54"/>
      <c r="CF82" s="55"/>
      <c r="CG82" s="55"/>
      <c r="CH82" s="54"/>
      <c r="CI82" s="54"/>
      <c r="CJ82" s="54"/>
      <c r="CK82" s="16"/>
      <c r="CL82" s="55"/>
      <c r="CM82" s="70"/>
      <c r="CN82" s="72"/>
      <c r="CO82" s="21"/>
      <c r="CP82" s="21"/>
      <c r="CQ82" s="21"/>
      <c r="CR82" s="21"/>
      <c r="CS82" s="21"/>
      <c r="CT82" s="21"/>
      <c r="CU82" s="21"/>
      <c r="CV82" s="21"/>
      <c r="CW82" s="76"/>
    </row>
    <row r="83" ht="15.75" customHeight="1">
      <c r="A83" s="50"/>
      <c r="B83" s="108" t="s">
        <v>82</v>
      </c>
      <c r="C83" s="51"/>
      <c r="D83" s="51"/>
      <c r="E83" s="51"/>
      <c r="F83" s="51"/>
      <c r="G83" s="51"/>
      <c r="H83" s="51"/>
      <c r="I83" s="51"/>
      <c r="J83" s="51"/>
      <c r="K83" s="52"/>
      <c r="L83" s="64"/>
      <c r="M83" s="109" t="s">
        <v>82</v>
      </c>
      <c r="N83" s="55"/>
      <c r="O83" s="55"/>
      <c r="P83" s="54"/>
      <c r="Q83" s="54"/>
      <c r="R83" s="54"/>
      <c r="S83" s="54"/>
      <c r="T83" s="55"/>
      <c r="U83" s="70"/>
      <c r="V83" s="64"/>
      <c r="W83" s="109" t="s">
        <v>82</v>
      </c>
      <c r="X83" s="55"/>
      <c r="Y83" s="55"/>
      <c r="Z83" s="54"/>
      <c r="AA83" s="54"/>
      <c r="AB83" s="54"/>
      <c r="AC83" s="54"/>
      <c r="AD83" s="55"/>
      <c r="AE83" s="70"/>
      <c r="AF83" s="64"/>
      <c r="AG83" s="109" t="s">
        <v>82</v>
      </c>
      <c r="AH83" s="55"/>
      <c r="AI83" s="55"/>
      <c r="AJ83" s="54"/>
      <c r="AK83" s="54"/>
      <c r="AL83" s="54"/>
      <c r="AM83" s="54"/>
      <c r="AN83" s="55"/>
      <c r="AO83" s="70"/>
      <c r="AP83" s="64"/>
      <c r="AQ83" s="109" t="s">
        <v>82</v>
      </c>
      <c r="AR83" s="55"/>
      <c r="AS83" s="55"/>
      <c r="AT83" s="54"/>
      <c r="AU83" s="54"/>
      <c r="AV83" s="54"/>
      <c r="AW83" s="54"/>
      <c r="AX83" s="55"/>
      <c r="AY83" s="70"/>
      <c r="AZ83" s="64"/>
      <c r="BA83" s="109" t="s">
        <v>82</v>
      </c>
      <c r="BB83" s="55"/>
      <c r="BC83" s="55"/>
      <c r="BD83" s="54"/>
      <c r="BE83" s="54"/>
      <c r="BF83" s="54"/>
      <c r="BG83" s="54"/>
      <c r="BH83" s="55"/>
      <c r="BI83" s="70"/>
      <c r="BJ83" s="64"/>
      <c r="BK83" s="109" t="s">
        <v>82</v>
      </c>
      <c r="BL83" s="55"/>
      <c r="BM83" s="55"/>
      <c r="BN83" s="54"/>
      <c r="BO83" s="54"/>
      <c r="BP83" s="54"/>
      <c r="BQ83" s="54"/>
      <c r="BR83" s="55"/>
      <c r="BS83" s="70"/>
      <c r="BT83" s="64"/>
      <c r="BU83" s="109" t="s">
        <v>82</v>
      </c>
      <c r="BV83" s="55"/>
      <c r="BW83" s="55"/>
      <c r="BX83" s="54"/>
      <c r="BY83" s="54"/>
      <c r="BZ83" s="54"/>
      <c r="CA83" s="54"/>
      <c r="CB83" s="55"/>
      <c r="CC83" s="70"/>
      <c r="CD83" s="64"/>
      <c r="CE83" s="109" t="s">
        <v>82</v>
      </c>
      <c r="CF83" s="55"/>
      <c r="CG83" s="55"/>
      <c r="CH83" s="54"/>
      <c r="CI83" s="54"/>
      <c r="CJ83" s="54"/>
      <c r="CK83" s="54"/>
      <c r="CL83" s="55"/>
      <c r="CM83" s="70"/>
      <c r="CN83" s="72"/>
      <c r="CO83" s="110" t="s">
        <v>82</v>
      </c>
      <c r="CP83" s="21"/>
      <c r="CQ83" s="21"/>
      <c r="CR83" s="21"/>
      <c r="CS83" s="21"/>
      <c r="CT83" s="21"/>
      <c r="CU83" s="21"/>
      <c r="CV83" s="21"/>
      <c r="CW83" s="76"/>
    </row>
    <row r="84" ht="15.75" customHeight="1">
      <c r="A84" s="50"/>
      <c r="B84" s="111"/>
      <c r="C84" s="112" t="s">
        <v>83</v>
      </c>
      <c r="D84" s="113"/>
      <c r="E84" s="112" t="s">
        <v>84</v>
      </c>
      <c r="F84" s="37"/>
      <c r="G84" s="114" t="s">
        <v>85</v>
      </c>
      <c r="H84" s="37"/>
      <c r="I84" s="51"/>
      <c r="J84" s="51"/>
      <c r="K84" s="52"/>
      <c r="L84" s="115">
        <v>0.0</v>
      </c>
      <c r="M84" s="116" t="s">
        <v>83</v>
      </c>
      <c r="N84" s="117"/>
      <c r="O84" s="116" t="s">
        <v>84</v>
      </c>
      <c r="P84" s="117"/>
      <c r="Q84" s="116" t="s">
        <v>85</v>
      </c>
      <c r="R84" s="118"/>
      <c r="S84" s="117"/>
      <c r="T84" s="55"/>
      <c r="U84" s="70"/>
      <c r="V84" s="115">
        <v>0.0</v>
      </c>
      <c r="W84" s="116" t="s">
        <v>83</v>
      </c>
      <c r="X84" s="117"/>
      <c r="Y84" s="116" t="s">
        <v>84</v>
      </c>
      <c r="Z84" s="117"/>
      <c r="AA84" s="116" t="s">
        <v>85</v>
      </c>
      <c r="AB84" s="118"/>
      <c r="AC84" s="117"/>
      <c r="AD84" s="55"/>
      <c r="AE84" s="70"/>
      <c r="AF84" s="115">
        <v>0.0</v>
      </c>
      <c r="AG84" s="116" t="s">
        <v>83</v>
      </c>
      <c r="AH84" s="117"/>
      <c r="AI84" s="116" t="s">
        <v>84</v>
      </c>
      <c r="AJ84" s="117"/>
      <c r="AK84" s="116" t="s">
        <v>85</v>
      </c>
      <c r="AL84" s="118"/>
      <c r="AM84" s="117"/>
      <c r="AN84" s="55"/>
      <c r="AO84" s="70"/>
      <c r="AP84" s="115">
        <v>0.0</v>
      </c>
      <c r="AQ84" s="116" t="s">
        <v>83</v>
      </c>
      <c r="AR84" s="117"/>
      <c r="AS84" s="116" t="s">
        <v>84</v>
      </c>
      <c r="AT84" s="117"/>
      <c r="AU84" s="116" t="s">
        <v>85</v>
      </c>
      <c r="AV84" s="118"/>
      <c r="AW84" s="117"/>
      <c r="AX84" s="55"/>
      <c r="AY84" s="70"/>
      <c r="AZ84" s="115">
        <v>0.0</v>
      </c>
      <c r="BA84" s="119" t="s">
        <v>83</v>
      </c>
      <c r="BB84" s="120"/>
      <c r="BC84" s="119" t="s">
        <v>84</v>
      </c>
      <c r="BD84" s="120"/>
      <c r="BE84" s="119" t="s">
        <v>85</v>
      </c>
      <c r="BF84" s="121"/>
      <c r="BG84" s="120"/>
      <c r="BH84" s="55"/>
      <c r="BI84" s="70"/>
      <c r="BJ84" s="115">
        <v>0.0</v>
      </c>
      <c r="BK84" s="119" t="s">
        <v>83</v>
      </c>
      <c r="BL84" s="120"/>
      <c r="BM84" s="116" t="s">
        <v>84</v>
      </c>
      <c r="BN84" s="117"/>
      <c r="BO84" s="116" t="s">
        <v>85</v>
      </c>
      <c r="BP84" s="118"/>
      <c r="BQ84" s="117"/>
      <c r="BR84" s="55"/>
      <c r="BS84" s="70"/>
      <c r="BT84" s="115">
        <v>0.0</v>
      </c>
      <c r="BU84" s="119" t="s">
        <v>83</v>
      </c>
      <c r="BV84" s="120"/>
      <c r="BW84" s="116" t="s">
        <v>84</v>
      </c>
      <c r="BX84" s="117"/>
      <c r="BY84" s="116" t="s">
        <v>85</v>
      </c>
      <c r="BZ84" s="118"/>
      <c r="CA84" s="117"/>
      <c r="CB84" s="55"/>
      <c r="CC84" s="70"/>
      <c r="CD84" s="115">
        <v>0.0</v>
      </c>
      <c r="CE84" s="119" t="s">
        <v>83</v>
      </c>
      <c r="CF84" s="120"/>
      <c r="CG84" s="116" t="s">
        <v>84</v>
      </c>
      <c r="CH84" s="117"/>
      <c r="CI84" s="116" t="s">
        <v>85</v>
      </c>
      <c r="CJ84" s="118"/>
      <c r="CK84" s="117"/>
      <c r="CL84" s="55"/>
      <c r="CM84" s="70"/>
      <c r="CN84" s="122">
        <v>0.0</v>
      </c>
      <c r="CO84" s="123" t="s">
        <v>83</v>
      </c>
      <c r="CP84" s="117"/>
      <c r="CQ84" s="123" t="s">
        <v>84</v>
      </c>
      <c r="CR84" s="117"/>
      <c r="CS84" s="123" t="s">
        <v>85</v>
      </c>
      <c r="CT84" s="118"/>
      <c r="CU84" s="117"/>
      <c r="CV84" s="21"/>
      <c r="CW84" s="76"/>
    </row>
    <row r="85" ht="15.75" customHeight="1">
      <c r="A85" s="50"/>
      <c r="B85" s="124" t="s">
        <v>21</v>
      </c>
      <c r="C85" s="125"/>
      <c r="D85" s="126"/>
      <c r="E85" s="125"/>
      <c r="F85" s="126"/>
      <c r="G85" s="125"/>
      <c r="H85" s="126"/>
      <c r="I85" s="51"/>
      <c r="J85" s="51"/>
      <c r="K85" s="52"/>
      <c r="L85" s="127" t="s">
        <v>21</v>
      </c>
      <c r="M85" s="128" t="s">
        <v>22</v>
      </c>
      <c r="N85" s="126"/>
      <c r="O85" s="128" t="s">
        <v>24</v>
      </c>
      <c r="P85" s="126"/>
      <c r="Q85" s="129" t="s">
        <v>86</v>
      </c>
      <c r="R85" s="130"/>
      <c r="S85" s="131"/>
      <c r="T85" s="55"/>
      <c r="U85" s="40"/>
      <c r="V85" s="127" t="s">
        <v>21</v>
      </c>
      <c r="W85" s="128" t="s">
        <v>22</v>
      </c>
      <c r="X85" s="126"/>
      <c r="Y85" s="128" t="s">
        <v>86</v>
      </c>
      <c r="Z85" s="126"/>
      <c r="AA85" s="129" t="s">
        <v>24</v>
      </c>
      <c r="AB85" s="130"/>
      <c r="AC85" s="131"/>
      <c r="AD85" s="55"/>
      <c r="AE85" s="40"/>
      <c r="AF85" s="127" t="s">
        <v>21</v>
      </c>
      <c r="AG85" s="128" t="s">
        <v>86</v>
      </c>
      <c r="AH85" s="126"/>
      <c r="AI85" s="128" t="s">
        <v>22</v>
      </c>
      <c r="AJ85" s="126"/>
      <c r="AK85" s="129" t="s">
        <v>23</v>
      </c>
      <c r="AL85" s="130"/>
      <c r="AM85" s="131"/>
      <c r="AN85" s="55"/>
      <c r="AO85" s="40"/>
      <c r="AP85" s="127" t="s">
        <v>21</v>
      </c>
      <c r="AQ85" s="128" t="s">
        <v>22</v>
      </c>
      <c r="AR85" s="126"/>
      <c r="AS85" s="128" t="s">
        <v>87</v>
      </c>
      <c r="AT85" s="126"/>
      <c r="AU85" s="129" t="s">
        <v>88</v>
      </c>
      <c r="AV85" s="130"/>
      <c r="AW85" s="131"/>
      <c r="AX85" s="55"/>
      <c r="AY85" s="40"/>
      <c r="AZ85" s="127" t="s">
        <v>21</v>
      </c>
      <c r="BA85" s="128" t="s">
        <v>22</v>
      </c>
      <c r="BB85" s="126"/>
      <c r="BC85" s="128" t="s">
        <v>87</v>
      </c>
      <c r="BD85" s="126"/>
      <c r="BE85" s="128" t="s">
        <v>24</v>
      </c>
      <c r="BF85" s="132"/>
      <c r="BG85" s="126"/>
      <c r="BH85" s="55"/>
      <c r="BI85" s="40"/>
      <c r="BJ85" s="127" t="s">
        <v>21</v>
      </c>
      <c r="BK85" s="128" t="s">
        <v>24</v>
      </c>
      <c r="BL85" s="126"/>
      <c r="BM85" s="128" t="s">
        <v>22</v>
      </c>
      <c r="BN85" s="126"/>
      <c r="BO85" s="129" t="s">
        <v>22</v>
      </c>
      <c r="BP85" s="130"/>
      <c r="BQ85" s="131"/>
      <c r="BR85" s="55"/>
      <c r="BS85" s="40"/>
      <c r="BT85" s="127" t="s">
        <v>21</v>
      </c>
      <c r="BU85" s="128" t="s">
        <v>22</v>
      </c>
      <c r="BV85" s="126"/>
      <c r="BW85" s="128" t="s">
        <v>89</v>
      </c>
      <c r="BX85" s="126"/>
      <c r="BY85" s="129" t="s">
        <v>87</v>
      </c>
      <c r="BZ85" s="130"/>
      <c r="CA85" s="131"/>
      <c r="CB85" s="55"/>
      <c r="CC85" s="40"/>
      <c r="CD85" s="127" t="s">
        <v>21</v>
      </c>
      <c r="CE85" s="128" t="s">
        <v>24</v>
      </c>
      <c r="CF85" s="126"/>
      <c r="CG85" s="128" t="s">
        <v>22</v>
      </c>
      <c r="CH85" s="126"/>
      <c r="CI85" s="129" t="s">
        <v>87</v>
      </c>
      <c r="CJ85" s="130"/>
      <c r="CK85" s="131"/>
      <c r="CL85" s="55"/>
      <c r="CM85" s="40"/>
      <c r="CN85" s="133" t="s">
        <v>21</v>
      </c>
      <c r="CO85" s="134"/>
      <c r="CP85" s="126"/>
      <c r="CQ85" s="134"/>
      <c r="CR85" s="126"/>
      <c r="CS85" s="135"/>
      <c r="CT85" s="130"/>
      <c r="CU85" s="131"/>
      <c r="CV85" s="136"/>
      <c r="CW85" s="137"/>
    </row>
    <row r="86" ht="15.75" customHeight="1">
      <c r="A86" s="50"/>
      <c r="B86" s="124" t="s">
        <v>26</v>
      </c>
      <c r="C86" s="125"/>
      <c r="D86" s="126"/>
      <c r="E86" s="125"/>
      <c r="F86" s="126"/>
      <c r="G86" s="125"/>
      <c r="H86" s="126"/>
      <c r="I86" s="51"/>
      <c r="J86" s="51"/>
      <c r="K86" s="52"/>
      <c r="L86" s="127" t="s">
        <v>26</v>
      </c>
      <c r="M86" s="128" t="s">
        <v>40</v>
      </c>
      <c r="N86" s="126"/>
      <c r="O86" s="128" t="s">
        <v>27</v>
      </c>
      <c r="P86" s="126"/>
      <c r="Q86" s="129" t="s">
        <v>90</v>
      </c>
      <c r="R86" s="130"/>
      <c r="S86" s="131"/>
      <c r="T86" s="55"/>
      <c r="U86" s="40"/>
      <c r="V86" s="127" t="s">
        <v>26</v>
      </c>
      <c r="W86" s="128" t="s">
        <v>40</v>
      </c>
      <c r="X86" s="126"/>
      <c r="Y86" s="128" t="s">
        <v>27</v>
      </c>
      <c r="Z86" s="126"/>
      <c r="AA86" s="129" t="s">
        <v>91</v>
      </c>
      <c r="AB86" s="130"/>
      <c r="AC86" s="131"/>
      <c r="AD86" s="55"/>
      <c r="AE86" s="40"/>
      <c r="AF86" s="127" t="s">
        <v>26</v>
      </c>
      <c r="AG86" s="128" t="s">
        <v>40</v>
      </c>
      <c r="AH86" s="126"/>
      <c r="AI86" s="128" t="s">
        <v>27</v>
      </c>
      <c r="AJ86" s="126"/>
      <c r="AK86" s="129" t="s">
        <v>91</v>
      </c>
      <c r="AL86" s="130"/>
      <c r="AM86" s="131"/>
      <c r="AN86" s="55"/>
      <c r="AO86" s="40"/>
      <c r="AP86" s="127" t="s">
        <v>26</v>
      </c>
      <c r="AQ86" s="128" t="s">
        <v>27</v>
      </c>
      <c r="AR86" s="126"/>
      <c r="AS86" s="128" t="s">
        <v>40</v>
      </c>
      <c r="AT86" s="126"/>
      <c r="AU86" s="138" t="s">
        <v>92</v>
      </c>
      <c r="AV86" s="130"/>
      <c r="AW86" s="131"/>
      <c r="AX86" s="55"/>
      <c r="AY86" s="40"/>
      <c r="AZ86" s="127" t="s">
        <v>26</v>
      </c>
      <c r="BA86" s="128" t="s">
        <v>40</v>
      </c>
      <c r="BB86" s="126"/>
      <c r="BC86" s="128" t="s">
        <v>27</v>
      </c>
      <c r="BD86" s="126"/>
      <c r="BE86" s="129" t="s">
        <v>91</v>
      </c>
      <c r="BF86" s="130"/>
      <c r="BG86" s="131"/>
      <c r="BH86" s="55"/>
      <c r="BI86" s="40"/>
      <c r="BJ86" s="127" t="s">
        <v>26</v>
      </c>
      <c r="BK86" s="128" t="s">
        <v>93</v>
      </c>
      <c r="BL86" s="126"/>
      <c r="BM86" s="128" t="s">
        <v>91</v>
      </c>
      <c r="BN86" s="126"/>
      <c r="BO86" s="129" t="s">
        <v>39</v>
      </c>
      <c r="BP86" s="130"/>
      <c r="BQ86" s="131"/>
      <c r="BR86" s="55"/>
      <c r="BS86" s="40"/>
      <c r="BT86" s="127" t="s">
        <v>26</v>
      </c>
      <c r="BU86" s="128" t="s">
        <v>40</v>
      </c>
      <c r="BV86" s="126"/>
      <c r="BW86" s="128" t="s">
        <v>91</v>
      </c>
      <c r="BX86" s="126"/>
      <c r="BY86" s="129" t="s">
        <v>39</v>
      </c>
      <c r="BZ86" s="130"/>
      <c r="CA86" s="131"/>
      <c r="CB86" s="55"/>
      <c r="CC86" s="40"/>
      <c r="CD86" s="127" t="s">
        <v>26</v>
      </c>
      <c r="CE86" s="128" t="s">
        <v>40</v>
      </c>
      <c r="CF86" s="126"/>
      <c r="CG86" s="128" t="s">
        <v>91</v>
      </c>
      <c r="CH86" s="126"/>
      <c r="CI86" s="129" t="s">
        <v>39</v>
      </c>
      <c r="CJ86" s="130"/>
      <c r="CK86" s="131"/>
      <c r="CL86" s="55"/>
      <c r="CM86" s="40"/>
      <c r="CN86" s="133" t="s">
        <v>26</v>
      </c>
      <c r="CO86" s="134"/>
      <c r="CP86" s="126"/>
      <c r="CQ86" s="134"/>
      <c r="CR86" s="126"/>
      <c r="CS86" s="135"/>
      <c r="CT86" s="130"/>
      <c r="CU86" s="131"/>
      <c r="CV86" s="136"/>
      <c r="CW86" s="137"/>
    </row>
    <row r="87" ht="15.75" customHeight="1">
      <c r="A87" s="50"/>
      <c r="B87" s="124" t="s">
        <v>32</v>
      </c>
      <c r="C87" s="125"/>
      <c r="D87" s="126"/>
      <c r="E87" s="125"/>
      <c r="F87" s="126"/>
      <c r="G87" s="125"/>
      <c r="H87" s="126"/>
      <c r="I87" s="51"/>
      <c r="J87" s="51"/>
      <c r="K87" s="52"/>
      <c r="L87" s="127" t="s">
        <v>32</v>
      </c>
      <c r="M87" s="128" t="s">
        <v>37</v>
      </c>
      <c r="N87" s="126"/>
      <c r="O87" s="128" t="s">
        <v>38</v>
      </c>
      <c r="P87" s="126"/>
      <c r="Q87" s="129" t="s">
        <v>34</v>
      </c>
      <c r="R87" s="130"/>
      <c r="S87" s="131"/>
      <c r="T87" s="55"/>
      <c r="U87" s="40"/>
      <c r="V87" s="127" t="s">
        <v>32</v>
      </c>
      <c r="W87" s="128" t="s">
        <v>37</v>
      </c>
      <c r="X87" s="126"/>
      <c r="Y87" s="128" t="s">
        <v>38</v>
      </c>
      <c r="Z87" s="126"/>
      <c r="AA87" s="129" t="s">
        <v>34</v>
      </c>
      <c r="AB87" s="130"/>
      <c r="AC87" s="131"/>
      <c r="AD87" s="55"/>
      <c r="AE87" s="40"/>
      <c r="AF87" s="127" t="s">
        <v>32</v>
      </c>
      <c r="AG87" s="128" t="s">
        <v>37</v>
      </c>
      <c r="AH87" s="126"/>
      <c r="AI87" s="128" t="s">
        <v>38</v>
      </c>
      <c r="AJ87" s="126"/>
      <c r="AK87" s="129" t="s">
        <v>34</v>
      </c>
      <c r="AL87" s="130"/>
      <c r="AM87" s="131"/>
      <c r="AN87" s="55"/>
      <c r="AO87" s="40"/>
      <c r="AP87" s="127" t="s">
        <v>32</v>
      </c>
      <c r="AQ87" s="128" t="s">
        <v>37</v>
      </c>
      <c r="AR87" s="126"/>
      <c r="AS87" s="128" t="s">
        <v>38</v>
      </c>
      <c r="AT87" s="126"/>
      <c r="AU87" s="129" t="s">
        <v>94</v>
      </c>
      <c r="AV87" s="130"/>
      <c r="AW87" s="131"/>
      <c r="AX87" s="55"/>
      <c r="AY87" s="40"/>
      <c r="AZ87" s="127" t="s">
        <v>32</v>
      </c>
      <c r="BA87" s="128" t="s">
        <v>38</v>
      </c>
      <c r="BB87" s="126"/>
      <c r="BC87" s="128" t="s">
        <v>37</v>
      </c>
      <c r="BD87" s="126"/>
      <c r="BE87" s="139" t="s">
        <v>33</v>
      </c>
      <c r="BF87" s="140"/>
      <c r="BG87" s="141"/>
      <c r="BH87" s="55"/>
      <c r="BI87" s="40"/>
      <c r="BJ87" s="127" t="s">
        <v>32</v>
      </c>
      <c r="BK87" s="128" t="s">
        <v>37</v>
      </c>
      <c r="BL87" s="126"/>
      <c r="BM87" s="128" t="s">
        <v>38</v>
      </c>
      <c r="BN87" s="126"/>
      <c r="BO87" s="129" t="s">
        <v>34</v>
      </c>
      <c r="BP87" s="130"/>
      <c r="BQ87" s="131"/>
      <c r="BR87" s="55"/>
      <c r="BS87" s="40"/>
      <c r="BT87" s="127" t="s">
        <v>32</v>
      </c>
      <c r="BU87" s="128" t="s">
        <v>37</v>
      </c>
      <c r="BV87" s="126"/>
      <c r="BW87" s="128" t="s">
        <v>34</v>
      </c>
      <c r="BX87" s="126"/>
      <c r="BY87" s="129" t="s">
        <v>33</v>
      </c>
      <c r="BZ87" s="130"/>
      <c r="CA87" s="131"/>
      <c r="CB87" s="55"/>
      <c r="CC87" s="40"/>
      <c r="CD87" s="127" t="s">
        <v>32</v>
      </c>
      <c r="CE87" s="128" t="s">
        <v>34</v>
      </c>
      <c r="CF87" s="126"/>
      <c r="CG87" s="128" t="s">
        <v>37</v>
      </c>
      <c r="CH87" s="126"/>
      <c r="CI87" s="129" t="s">
        <v>33</v>
      </c>
      <c r="CJ87" s="130"/>
      <c r="CK87" s="131"/>
      <c r="CL87" s="55"/>
      <c r="CM87" s="40"/>
      <c r="CN87" s="133" t="s">
        <v>32</v>
      </c>
      <c r="CO87" s="134"/>
      <c r="CP87" s="126"/>
      <c r="CQ87" s="134"/>
      <c r="CR87" s="126"/>
      <c r="CS87" s="135"/>
      <c r="CT87" s="130"/>
      <c r="CU87" s="131"/>
      <c r="CV87" s="136"/>
      <c r="CW87" s="137"/>
    </row>
    <row r="88" ht="15.75" customHeight="1">
      <c r="A88" s="50"/>
      <c r="B88" s="124" t="s">
        <v>29</v>
      </c>
      <c r="C88" s="125"/>
      <c r="D88" s="126"/>
      <c r="E88" s="125"/>
      <c r="F88" s="126"/>
      <c r="G88" s="125"/>
      <c r="H88" s="126"/>
      <c r="I88" s="142"/>
      <c r="J88" s="51"/>
      <c r="K88" s="52"/>
      <c r="L88" s="127" t="s">
        <v>29</v>
      </c>
      <c r="M88" s="128" t="s">
        <v>95</v>
      </c>
      <c r="N88" s="126"/>
      <c r="O88" s="128" t="s">
        <v>96</v>
      </c>
      <c r="P88" s="126"/>
      <c r="Q88" s="129" t="s">
        <v>35</v>
      </c>
      <c r="R88" s="130"/>
      <c r="S88" s="131"/>
      <c r="T88" s="55"/>
      <c r="U88" s="40"/>
      <c r="V88" s="127" t="s">
        <v>29</v>
      </c>
      <c r="W88" s="128" t="s">
        <v>95</v>
      </c>
      <c r="X88" s="126"/>
      <c r="Y88" s="128" t="s">
        <v>35</v>
      </c>
      <c r="Z88" s="126"/>
      <c r="AA88" s="129" t="s">
        <v>96</v>
      </c>
      <c r="AB88" s="130"/>
      <c r="AC88" s="131"/>
      <c r="AD88" s="55"/>
      <c r="AE88" s="40"/>
      <c r="AF88" s="127" t="s">
        <v>29</v>
      </c>
      <c r="AG88" s="128" t="s">
        <v>35</v>
      </c>
      <c r="AH88" s="126"/>
      <c r="AI88" s="128" t="s">
        <v>31</v>
      </c>
      <c r="AJ88" s="126"/>
      <c r="AK88" s="129" t="s">
        <v>96</v>
      </c>
      <c r="AL88" s="130"/>
      <c r="AM88" s="131"/>
      <c r="AN88" s="55"/>
      <c r="AO88" s="40"/>
      <c r="AP88" s="127" t="s">
        <v>29</v>
      </c>
      <c r="AQ88" s="128" t="s">
        <v>96</v>
      </c>
      <c r="AR88" s="126"/>
      <c r="AS88" s="128" t="s">
        <v>97</v>
      </c>
      <c r="AT88" s="126"/>
      <c r="AU88" s="129" t="s">
        <v>35</v>
      </c>
      <c r="AV88" s="130"/>
      <c r="AW88" s="131"/>
      <c r="AX88" s="55"/>
      <c r="AY88" s="40"/>
      <c r="AZ88" s="127" t="s">
        <v>29</v>
      </c>
      <c r="BA88" s="128" t="s">
        <v>95</v>
      </c>
      <c r="BB88" s="126"/>
      <c r="BC88" s="128" t="s">
        <v>30</v>
      </c>
      <c r="BD88" s="126"/>
      <c r="BE88" s="129" t="s">
        <v>31</v>
      </c>
      <c r="BF88" s="130"/>
      <c r="BG88" s="131"/>
      <c r="BH88" s="55"/>
      <c r="BI88" s="40"/>
      <c r="BJ88" s="127" t="s">
        <v>29</v>
      </c>
      <c r="BK88" s="128" t="s">
        <v>35</v>
      </c>
      <c r="BL88" s="126"/>
      <c r="BM88" s="128" t="s">
        <v>31</v>
      </c>
      <c r="BN88" s="126"/>
      <c r="BO88" s="129" t="s">
        <v>95</v>
      </c>
      <c r="BP88" s="130"/>
      <c r="BQ88" s="131"/>
      <c r="BR88" s="55"/>
      <c r="BS88" s="40"/>
      <c r="BT88" s="127" t="s">
        <v>29</v>
      </c>
      <c r="BU88" s="128" t="s">
        <v>98</v>
      </c>
      <c r="BV88" s="126"/>
      <c r="BW88" s="128" t="s">
        <v>99</v>
      </c>
      <c r="BX88" s="126"/>
      <c r="BY88" s="129" t="s">
        <v>31</v>
      </c>
      <c r="BZ88" s="130"/>
      <c r="CA88" s="131"/>
      <c r="CB88" s="55"/>
      <c r="CC88" s="40"/>
      <c r="CD88" s="127" t="s">
        <v>29</v>
      </c>
      <c r="CE88" s="128" t="s">
        <v>31</v>
      </c>
      <c r="CF88" s="126"/>
      <c r="CG88" s="128" t="s">
        <v>35</v>
      </c>
      <c r="CH88" s="126"/>
      <c r="CI88" s="129" t="s">
        <v>30</v>
      </c>
      <c r="CJ88" s="130"/>
      <c r="CK88" s="131"/>
      <c r="CL88" s="55"/>
      <c r="CM88" s="40"/>
      <c r="CN88" s="133" t="s">
        <v>29</v>
      </c>
      <c r="CO88" s="134"/>
      <c r="CP88" s="126"/>
      <c r="CQ88" s="134"/>
      <c r="CR88" s="126"/>
      <c r="CS88" s="135"/>
      <c r="CT88" s="130"/>
      <c r="CU88" s="131"/>
      <c r="CV88" s="136"/>
      <c r="CW88" s="137"/>
    </row>
    <row r="89" ht="15.75" customHeight="1">
      <c r="A89" s="50"/>
      <c r="B89" s="143" t="s">
        <v>41</v>
      </c>
      <c r="C89" s="125"/>
      <c r="D89" s="126"/>
      <c r="E89" s="125"/>
      <c r="F89" s="126"/>
      <c r="G89" s="125"/>
      <c r="H89" s="126"/>
      <c r="I89" s="142"/>
      <c r="J89" s="51"/>
      <c r="K89" s="52"/>
      <c r="L89" s="143" t="s">
        <v>41</v>
      </c>
      <c r="M89" s="128" t="s">
        <v>100</v>
      </c>
      <c r="N89" s="126"/>
      <c r="O89" s="128" t="s">
        <v>43</v>
      </c>
      <c r="P89" s="126"/>
      <c r="Q89" s="129" t="s">
        <v>42</v>
      </c>
      <c r="R89" s="130"/>
      <c r="S89" s="131"/>
      <c r="T89" s="55"/>
      <c r="U89" s="40"/>
      <c r="V89" s="143" t="s">
        <v>41</v>
      </c>
      <c r="W89" s="128" t="s">
        <v>44</v>
      </c>
      <c r="X89" s="126"/>
      <c r="Y89" s="128" t="s">
        <v>42</v>
      </c>
      <c r="Z89" s="126"/>
      <c r="AA89" s="129" t="s">
        <v>43</v>
      </c>
      <c r="AB89" s="130"/>
      <c r="AC89" s="131"/>
      <c r="AD89" s="55"/>
      <c r="AE89" s="40"/>
      <c r="AF89" s="143" t="s">
        <v>41</v>
      </c>
      <c r="AG89" s="128" t="s">
        <v>44</v>
      </c>
      <c r="AH89" s="126"/>
      <c r="AI89" s="128" t="s">
        <v>42</v>
      </c>
      <c r="AJ89" s="126"/>
      <c r="AK89" s="129" t="s">
        <v>43</v>
      </c>
      <c r="AL89" s="130"/>
      <c r="AM89" s="131"/>
      <c r="AN89" s="55"/>
      <c r="AO89" s="40"/>
      <c r="AP89" s="143" t="s">
        <v>41</v>
      </c>
      <c r="AQ89" s="128" t="s">
        <v>44</v>
      </c>
      <c r="AR89" s="126"/>
      <c r="AS89" s="128" t="s">
        <v>43</v>
      </c>
      <c r="AT89" s="126"/>
      <c r="AU89" s="129" t="s">
        <v>101</v>
      </c>
      <c r="AV89" s="130"/>
      <c r="AW89" s="131"/>
      <c r="AX89" s="55"/>
      <c r="AY89" s="40"/>
      <c r="AZ89" s="143" t="s">
        <v>41</v>
      </c>
      <c r="BA89" s="128" t="s">
        <v>44</v>
      </c>
      <c r="BB89" s="126"/>
      <c r="BC89" s="128" t="s">
        <v>42</v>
      </c>
      <c r="BD89" s="126"/>
      <c r="BE89" s="129" t="s">
        <v>43</v>
      </c>
      <c r="BF89" s="130"/>
      <c r="BG89" s="131"/>
      <c r="BH89" s="55"/>
      <c r="BI89" s="40"/>
      <c r="BJ89" s="143" t="s">
        <v>41</v>
      </c>
      <c r="BK89" s="128" t="s">
        <v>44</v>
      </c>
      <c r="BL89" s="126"/>
      <c r="BM89" s="128" t="s">
        <v>102</v>
      </c>
      <c r="BN89" s="126"/>
      <c r="BO89" s="129" t="s">
        <v>42</v>
      </c>
      <c r="BP89" s="130"/>
      <c r="BQ89" s="131"/>
      <c r="BR89" s="55"/>
      <c r="BS89" s="40"/>
      <c r="BT89" s="143" t="s">
        <v>41</v>
      </c>
      <c r="BU89" s="128" t="s">
        <v>100</v>
      </c>
      <c r="BV89" s="126"/>
      <c r="BW89" s="128" t="s">
        <v>103</v>
      </c>
      <c r="BX89" s="126"/>
      <c r="BY89" s="129" t="s">
        <v>102</v>
      </c>
      <c r="BZ89" s="130"/>
      <c r="CA89" s="131"/>
      <c r="CB89" s="55"/>
      <c r="CC89" s="40"/>
      <c r="CD89" s="143" t="s">
        <v>41</v>
      </c>
      <c r="CE89" s="128" t="s">
        <v>44</v>
      </c>
      <c r="CF89" s="126"/>
      <c r="CG89" s="128" t="s">
        <v>102</v>
      </c>
      <c r="CH89" s="126"/>
      <c r="CI89" s="129" t="s">
        <v>43</v>
      </c>
      <c r="CJ89" s="130"/>
      <c r="CK89" s="131"/>
      <c r="CL89" s="55"/>
      <c r="CM89" s="40"/>
      <c r="CN89" s="144" t="s">
        <v>41</v>
      </c>
      <c r="CO89" s="134"/>
      <c r="CP89" s="126"/>
      <c r="CQ89" s="134"/>
      <c r="CR89" s="126"/>
      <c r="CS89" s="135"/>
      <c r="CT89" s="130"/>
      <c r="CU89" s="131"/>
      <c r="CV89" s="136"/>
      <c r="CW89" s="137"/>
    </row>
    <row r="90" ht="15.75" customHeight="1">
      <c r="A90" s="50"/>
      <c r="B90" s="143" t="s">
        <v>46</v>
      </c>
      <c r="C90" s="125"/>
      <c r="D90" s="126"/>
      <c r="E90" s="125"/>
      <c r="F90" s="126"/>
      <c r="G90" s="125"/>
      <c r="H90" s="126"/>
      <c r="I90" s="142"/>
      <c r="J90" s="51"/>
      <c r="K90" s="52"/>
      <c r="L90" s="143" t="s">
        <v>46</v>
      </c>
      <c r="M90" s="128" t="s">
        <v>48</v>
      </c>
      <c r="N90" s="126"/>
      <c r="O90" s="128" t="s">
        <v>47</v>
      </c>
      <c r="P90" s="126"/>
      <c r="Q90" s="129" t="s">
        <v>49</v>
      </c>
      <c r="R90" s="130"/>
      <c r="S90" s="131"/>
      <c r="T90" s="55"/>
      <c r="U90" s="40"/>
      <c r="V90" s="143" t="s">
        <v>46</v>
      </c>
      <c r="W90" s="128" t="s">
        <v>48</v>
      </c>
      <c r="X90" s="126"/>
      <c r="Y90" s="128" t="s">
        <v>47</v>
      </c>
      <c r="Z90" s="126"/>
      <c r="AA90" s="129" t="s">
        <v>49</v>
      </c>
      <c r="AB90" s="130"/>
      <c r="AC90" s="131"/>
      <c r="AD90" s="55"/>
      <c r="AE90" s="40"/>
      <c r="AF90" s="143" t="s">
        <v>46</v>
      </c>
      <c r="AG90" s="128" t="s">
        <v>47</v>
      </c>
      <c r="AH90" s="126"/>
      <c r="AI90" s="128" t="s">
        <v>49</v>
      </c>
      <c r="AJ90" s="126"/>
      <c r="AK90" s="129" t="s">
        <v>48</v>
      </c>
      <c r="AL90" s="130"/>
      <c r="AM90" s="131"/>
      <c r="AN90" s="55"/>
      <c r="AO90" s="40"/>
      <c r="AP90" s="143" t="s">
        <v>46</v>
      </c>
      <c r="AQ90" s="128" t="s">
        <v>104</v>
      </c>
      <c r="AR90" s="126"/>
      <c r="AS90" s="128" t="s">
        <v>49</v>
      </c>
      <c r="AT90" s="126"/>
      <c r="AU90" s="129" t="s">
        <v>48</v>
      </c>
      <c r="AV90" s="130"/>
      <c r="AW90" s="131"/>
      <c r="AX90" s="55"/>
      <c r="AY90" s="40"/>
      <c r="AZ90" s="143" t="s">
        <v>46</v>
      </c>
      <c r="BA90" s="128" t="s">
        <v>48</v>
      </c>
      <c r="BB90" s="126"/>
      <c r="BC90" s="128" t="s">
        <v>47</v>
      </c>
      <c r="BD90" s="126"/>
      <c r="BE90" s="129" t="s">
        <v>49</v>
      </c>
      <c r="BF90" s="130"/>
      <c r="BG90" s="131"/>
      <c r="BH90" s="55"/>
      <c r="BI90" s="40"/>
      <c r="BJ90" s="143" t="s">
        <v>46</v>
      </c>
      <c r="BK90" s="128" t="s">
        <v>47</v>
      </c>
      <c r="BL90" s="126"/>
      <c r="BM90" s="128" t="s">
        <v>49</v>
      </c>
      <c r="BN90" s="126"/>
      <c r="BO90" s="129" t="s">
        <v>48</v>
      </c>
      <c r="BP90" s="130"/>
      <c r="BQ90" s="131"/>
      <c r="BR90" s="55"/>
      <c r="BS90" s="40"/>
      <c r="BT90" s="143" t="s">
        <v>46</v>
      </c>
      <c r="BU90" s="128" t="s">
        <v>105</v>
      </c>
      <c r="BV90" s="126"/>
      <c r="BW90" s="128" t="s">
        <v>49</v>
      </c>
      <c r="BX90" s="126"/>
      <c r="BY90" s="129" t="s">
        <v>48</v>
      </c>
      <c r="BZ90" s="130"/>
      <c r="CA90" s="131"/>
      <c r="CB90" s="55"/>
      <c r="CC90" s="40"/>
      <c r="CD90" s="143" t="s">
        <v>46</v>
      </c>
      <c r="CE90" s="128" t="s">
        <v>106</v>
      </c>
      <c r="CF90" s="126"/>
      <c r="CG90" s="128" t="s">
        <v>49</v>
      </c>
      <c r="CH90" s="126"/>
      <c r="CI90" s="129" t="s">
        <v>48</v>
      </c>
      <c r="CJ90" s="130"/>
      <c r="CK90" s="131"/>
      <c r="CL90" s="55"/>
      <c r="CM90" s="40"/>
      <c r="CN90" s="144" t="s">
        <v>46</v>
      </c>
      <c r="CO90" s="134"/>
      <c r="CP90" s="126"/>
      <c r="CQ90" s="134"/>
      <c r="CR90" s="126"/>
      <c r="CS90" s="135"/>
      <c r="CT90" s="130"/>
      <c r="CU90" s="131"/>
      <c r="CV90" s="136"/>
      <c r="CW90" s="137"/>
    </row>
    <row r="91" ht="15.75" customHeight="1">
      <c r="A91" s="50"/>
      <c r="B91" s="143" t="s">
        <v>51</v>
      </c>
      <c r="C91" s="125"/>
      <c r="D91" s="126"/>
      <c r="E91" s="125"/>
      <c r="F91" s="126"/>
      <c r="G91" s="125"/>
      <c r="H91" s="126"/>
      <c r="I91" s="142"/>
      <c r="J91" s="51"/>
      <c r="K91" s="52"/>
      <c r="L91" s="143" t="s">
        <v>51</v>
      </c>
      <c r="M91" s="128" t="s">
        <v>52</v>
      </c>
      <c r="N91" s="126"/>
      <c r="O91" s="128" t="s">
        <v>53</v>
      </c>
      <c r="P91" s="126"/>
      <c r="Q91" s="129" t="s">
        <v>54</v>
      </c>
      <c r="R91" s="130"/>
      <c r="S91" s="131"/>
      <c r="T91" s="55"/>
      <c r="U91" s="40"/>
      <c r="V91" s="143" t="s">
        <v>51</v>
      </c>
      <c r="W91" s="128" t="s">
        <v>52</v>
      </c>
      <c r="X91" s="126"/>
      <c r="Y91" s="128" t="s">
        <v>54</v>
      </c>
      <c r="Z91" s="126"/>
      <c r="AA91" s="129" t="s">
        <v>53</v>
      </c>
      <c r="AB91" s="130"/>
      <c r="AC91" s="131"/>
      <c r="AD91" s="55"/>
      <c r="AE91" s="40"/>
      <c r="AF91" s="143" t="s">
        <v>51</v>
      </c>
      <c r="AG91" s="128" t="s">
        <v>52</v>
      </c>
      <c r="AH91" s="126"/>
      <c r="AI91" s="128" t="s">
        <v>55</v>
      </c>
      <c r="AJ91" s="126"/>
      <c r="AK91" s="129" t="s">
        <v>53</v>
      </c>
      <c r="AL91" s="130"/>
      <c r="AM91" s="131"/>
      <c r="AN91" s="55"/>
      <c r="AO91" s="40"/>
      <c r="AP91" s="143" t="s">
        <v>51</v>
      </c>
      <c r="AQ91" s="128" t="s">
        <v>107</v>
      </c>
      <c r="AR91" s="126"/>
      <c r="AS91" s="128" t="s">
        <v>53</v>
      </c>
      <c r="AT91" s="126"/>
      <c r="AU91" s="129" t="s">
        <v>54</v>
      </c>
      <c r="AV91" s="130"/>
      <c r="AW91" s="131"/>
      <c r="AX91" s="55"/>
      <c r="AY91" s="40"/>
      <c r="AZ91" s="143" t="s">
        <v>51</v>
      </c>
      <c r="BA91" s="128" t="s">
        <v>54</v>
      </c>
      <c r="BB91" s="126"/>
      <c r="BC91" s="128" t="s">
        <v>53</v>
      </c>
      <c r="BD91" s="126"/>
      <c r="BE91" s="129" t="s">
        <v>52</v>
      </c>
      <c r="BF91" s="130"/>
      <c r="BG91" s="131"/>
      <c r="BH91" s="55"/>
      <c r="BI91" s="40"/>
      <c r="BJ91" s="143" t="s">
        <v>51</v>
      </c>
      <c r="BK91" s="128" t="s">
        <v>52</v>
      </c>
      <c r="BL91" s="126"/>
      <c r="BM91" s="128" t="s">
        <v>53</v>
      </c>
      <c r="BN91" s="126"/>
      <c r="BO91" s="129" t="s">
        <v>108</v>
      </c>
      <c r="BP91" s="130"/>
      <c r="BQ91" s="131"/>
      <c r="BR91" s="55"/>
      <c r="BS91" s="40"/>
      <c r="BT91" s="143" t="s">
        <v>51</v>
      </c>
      <c r="BU91" s="128" t="s">
        <v>52</v>
      </c>
      <c r="BV91" s="126"/>
      <c r="BW91" s="128" t="s">
        <v>53</v>
      </c>
      <c r="BX91" s="126"/>
      <c r="BY91" s="129" t="s">
        <v>55</v>
      </c>
      <c r="BZ91" s="130"/>
      <c r="CA91" s="131"/>
      <c r="CB91" s="55"/>
      <c r="CC91" s="40"/>
      <c r="CD91" s="143" t="s">
        <v>51</v>
      </c>
      <c r="CE91" s="128" t="s">
        <v>52</v>
      </c>
      <c r="CF91" s="126"/>
      <c r="CG91" s="128" t="s">
        <v>55</v>
      </c>
      <c r="CH91" s="126"/>
      <c r="CI91" s="129" t="s">
        <v>53</v>
      </c>
      <c r="CJ91" s="130"/>
      <c r="CK91" s="131"/>
      <c r="CL91" s="55"/>
      <c r="CM91" s="40"/>
      <c r="CN91" s="144" t="s">
        <v>51</v>
      </c>
      <c r="CO91" s="134"/>
      <c r="CP91" s="126"/>
      <c r="CQ91" s="134"/>
      <c r="CR91" s="126"/>
      <c r="CS91" s="135"/>
      <c r="CT91" s="130"/>
      <c r="CU91" s="131"/>
      <c r="CV91" s="136"/>
      <c r="CW91" s="137"/>
    </row>
    <row r="92" ht="15.75" customHeight="1">
      <c r="A92" s="50"/>
      <c r="B92" s="143" t="s">
        <v>56</v>
      </c>
      <c r="C92" s="125"/>
      <c r="D92" s="126"/>
      <c r="E92" s="125"/>
      <c r="F92" s="126"/>
      <c r="G92" s="125"/>
      <c r="H92" s="126"/>
      <c r="I92" s="142"/>
      <c r="J92" s="51"/>
      <c r="K92" s="52"/>
      <c r="L92" s="143" t="s">
        <v>56</v>
      </c>
      <c r="M92" s="128" t="s">
        <v>57</v>
      </c>
      <c r="N92" s="126"/>
      <c r="O92" s="128" t="s">
        <v>60</v>
      </c>
      <c r="P92" s="126"/>
      <c r="Q92" s="129" t="s">
        <v>109</v>
      </c>
      <c r="R92" s="130"/>
      <c r="S92" s="131"/>
      <c r="T92" s="55"/>
      <c r="U92" s="40"/>
      <c r="V92" s="143" t="s">
        <v>56</v>
      </c>
      <c r="W92" s="128" t="s">
        <v>57</v>
      </c>
      <c r="X92" s="126"/>
      <c r="Y92" s="128" t="s">
        <v>60</v>
      </c>
      <c r="Z92" s="126"/>
      <c r="AA92" s="129" t="s">
        <v>58</v>
      </c>
      <c r="AB92" s="130"/>
      <c r="AC92" s="131"/>
      <c r="AD92" s="55"/>
      <c r="AE92" s="40"/>
      <c r="AF92" s="143" t="s">
        <v>56</v>
      </c>
      <c r="AG92" s="128" t="s">
        <v>57</v>
      </c>
      <c r="AH92" s="126"/>
      <c r="AI92" s="128" t="s">
        <v>60</v>
      </c>
      <c r="AJ92" s="126"/>
      <c r="AK92" s="129" t="s">
        <v>59</v>
      </c>
      <c r="AL92" s="130"/>
      <c r="AM92" s="131"/>
      <c r="AN92" s="55"/>
      <c r="AO92" s="40"/>
      <c r="AP92" s="143" t="s">
        <v>56</v>
      </c>
      <c r="AQ92" s="128" t="s">
        <v>57</v>
      </c>
      <c r="AR92" s="126"/>
      <c r="AS92" s="128" t="s">
        <v>60</v>
      </c>
      <c r="AT92" s="126"/>
      <c r="AU92" s="129" t="s">
        <v>110</v>
      </c>
      <c r="AV92" s="130"/>
      <c r="AW92" s="131"/>
      <c r="AX92" s="55"/>
      <c r="AY92" s="40"/>
      <c r="AZ92" s="143" t="s">
        <v>56</v>
      </c>
      <c r="BA92" s="128" t="s">
        <v>57</v>
      </c>
      <c r="BB92" s="126"/>
      <c r="BC92" s="128" t="s">
        <v>60</v>
      </c>
      <c r="BD92" s="126"/>
      <c r="BE92" s="129" t="s">
        <v>59</v>
      </c>
      <c r="BF92" s="130"/>
      <c r="BG92" s="131"/>
      <c r="BH92" s="55"/>
      <c r="BI92" s="40"/>
      <c r="BJ92" s="143" t="s">
        <v>56</v>
      </c>
      <c r="BK92" s="128" t="s">
        <v>57</v>
      </c>
      <c r="BL92" s="126"/>
      <c r="BM92" s="128" t="s">
        <v>111</v>
      </c>
      <c r="BN92" s="126"/>
      <c r="BO92" s="129" t="s">
        <v>112</v>
      </c>
      <c r="BP92" s="130"/>
      <c r="BQ92" s="131"/>
      <c r="BR92" s="55"/>
      <c r="BS92" s="40"/>
      <c r="BT92" s="143" t="s">
        <v>56</v>
      </c>
      <c r="BU92" s="128" t="s">
        <v>57</v>
      </c>
      <c r="BV92" s="126"/>
      <c r="BW92" s="128" t="s">
        <v>111</v>
      </c>
      <c r="BX92" s="126"/>
      <c r="BY92" s="129" t="s">
        <v>113</v>
      </c>
      <c r="BZ92" s="130"/>
      <c r="CA92" s="131"/>
      <c r="CB92" s="55"/>
      <c r="CC92" s="40"/>
      <c r="CD92" s="143" t="s">
        <v>56</v>
      </c>
      <c r="CE92" s="128" t="s">
        <v>57</v>
      </c>
      <c r="CF92" s="126"/>
      <c r="CG92" s="128" t="s">
        <v>60</v>
      </c>
      <c r="CH92" s="126"/>
      <c r="CI92" s="129" t="s">
        <v>59</v>
      </c>
      <c r="CJ92" s="130"/>
      <c r="CK92" s="131"/>
      <c r="CL92" s="55"/>
      <c r="CM92" s="40"/>
      <c r="CN92" s="144" t="s">
        <v>56</v>
      </c>
      <c r="CO92" s="134"/>
      <c r="CP92" s="126"/>
      <c r="CQ92" s="134"/>
      <c r="CR92" s="126"/>
      <c r="CS92" s="135"/>
      <c r="CT92" s="130"/>
      <c r="CU92" s="131"/>
      <c r="CV92" s="136"/>
      <c r="CW92" s="137"/>
    </row>
    <row r="93" ht="15.75" customHeight="1">
      <c r="A93" s="50"/>
      <c r="B93" s="143" t="s">
        <v>61</v>
      </c>
      <c r="C93" s="125"/>
      <c r="D93" s="126"/>
      <c r="E93" s="125"/>
      <c r="F93" s="126"/>
      <c r="G93" s="125"/>
      <c r="H93" s="126"/>
      <c r="I93" s="51"/>
      <c r="J93" s="51"/>
      <c r="K93" s="52"/>
      <c r="L93" s="145" t="s">
        <v>61</v>
      </c>
      <c r="M93" s="128" t="s">
        <v>62</v>
      </c>
      <c r="N93" s="126"/>
      <c r="O93" s="128" t="s">
        <v>65</v>
      </c>
      <c r="P93" s="126"/>
      <c r="Q93" s="129" t="s">
        <v>64</v>
      </c>
      <c r="R93" s="130"/>
      <c r="S93" s="131"/>
      <c r="T93" s="55"/>
      <c r="U93" s="40"/>
      <c r="V93" s="145" t="s">
        <v>61</v>
      </c>
      <c r="W93" s="128" t="s">
        <v>62</v>
      </c>
      <c r="X93" s="126"/>
      <c r="Y93" s="128" t="s">
        <v>65</v>
      </c>
      <c r="Z93" s="126"/>
      <c r="AA93" s="129" t="s">
        <v>63</v>
      </c>
      <c r="AB93" s="130"/>
      <c r="AC93" s="131"/>
      <c r="AD93" s="55"/>
      <c r="AE93" s="40"/>
      <c r="AF93" s="145" t="s">
        <v>61</v>
      </c>
      <c r="AG93" s="128" t="s">
        <v>62</v>
      </c>
      <c r="AH93" s="126"/>
      <c r="AI93" s="128" t="s">
        <v>65</v>
      </c>
      <c r="AJ93" s="126"/>
      <c r="AK93" s="129" t="s">
        <v>63</v>
      </c>
      <c r="AL93" s="130"/>
      <c r="AM93" s="131"/>
      <c r="AN93" s="55"/>
      <c r="AO93" s="40"/>
      <c r="AP93" s="145" t="s">
        <v>61</v>
      </c>
      <c r="AQ93" s="128" t="s">
        <v>62</v>
      </c>
      <c r="AR93" s="126"/>
      <c r="AS93" s="128" t="s">
        <v>114</v>
      </c>
      <c r="AT93" s="126"/>
      <c r="AU93" s="129" t="s">
        <v>63</v>
      </c>
      <c r="AV93" s="130"/>
      <c r="AW93" s="131"/>
      <c r="AX93" s="55"/>
      <c r="AY93" s="40"/>
      <c r="AZ93" s="145" t="s">
        <v>61</v>
      </c>
      <c r="BA93" s="128" t="s">
        <v>62</v>
      </c>
      <c r="BB93" s="126"/>
      <c r="BC93" s="128" t="s">
        <v>65</v>
      </c>
      <c r="BD93" s="126"/>
      <c r="BE93" s="129" t="s">
        <v>63</v>
      </c>
      <c r="BF93" s="130"/>
      <c r="BG93" s="131"/>
      <c r="BH93" s="55"/>
      <c r="BI93" s="40"/>
      <c r="BJ93" s="145" t="s">
        <v>61</v>
      </c>
      <c r="BK93" s="128" t="s">
        <v>62</v>
      </c>
      <c r="BL93" s="126"/>
      <c r="BM93" s="128" t="s">
        <v>65</v>
      </c>
      <c r="BN93" s="126"/>
      <c r="BO93" s="129" t="s">
        <v>63</v>
      </c>
      <c r="BP93" s="130"/>
      <c r="BQ93" s="131"/>
      <c r="BR93" s="55"/>
      <c r="BS93" s="40"/>
      <c r="BT93" s="145" t="s">
        <v>61</v>
      </c>
      <c r="BU93" s="128" t="s">
        <v>62</v>
      </c>
      <c r="BV93" s="126"/>
      <c r="BW93" s="128" t="s">
        <v>115</v>
      </c>
      <c r="BX93" s="126"/>
      <c r="BY93" s="129" t="s">
        <v>65</v>
      </c>
      <c r="BZ93" s="130"/>
      <c r="CA93" s="131"/>
      <c r="CB93" s="55"/>
      <c r="CC93" s="40"/>
      <c r="CD93" s="145" t="s">
        <v>61</v>
      </c>
      <c r="CE93" s="128" t="s">
        <v>62</v>
      </c>
      <c r="CF93" s="126"/>
      <c r="CG93" s="128" t="s">
        <v>65</v>
      </c>
      <c r="CH93" s="126"/>
      <c r="CI93" s="129" t="s">
        <v>63</v>
      </c>
      <c r="CJ93" s="130"/>
      <c r="CK93" s="131"/>
      <c r="CL93" s="55"/>
      <c r="CM93" s="40"/>
      <c r="CN93" s="133" t="s">
        <v>61</v>
      </c>
      <c r="CO93" s="134"/>
      <c r="CP93" s="126"/>
      <c r="CQ93" s="134"/>
      <c r="CR93" s="126"/>
      <c r="CS93" s="135"/>
      <c r="CT93" s="130"/>
      <c r="CU93" s="131"/>
      <c r="CV93" s="136"/>
      <c r="CW93" s="137"/>
    </row>
    <row r="94" ht="15.75" customHeight="1">
      <c r="A94" s="50"/>
      <c r="B94" s="143" t="s">
        <v>66</v>
      </c>
      <c r="C94" s="125"/>
      <c r="D94" s="126"/>
      <c r="E94" s="125"/>
      <c r="F94" s="126"/>
      <c r="G94" s="125"/>
      <c r="H94" s="126"/>
      <c r="I94" s="51"/>
      <c r="J94" s="51"/>
      <c r="K94" s="52"/>
      <c r="L94" s="145" t="s">
        <v>66</v>
      </c>
      <c r="M94" s="128" t="s">
        <v>67</v>
      </c>
      <c r="N94" s="126"/>
      <c r="O94" s="128" t="s">
        <v>69</v>
      </c>
      <c r="P94" s="126"/>
      <c r="Q94" s="129" t="s">
        <v>116</v>
      </c>
      <c r="R94" s="130"/>
      <c r="S94" s="131"/>
      <c r="T94" s="55"/>
      <c r="U94" s="40"/>
      <c r="V94" s="145" t="s">
        <v>66</v>
      </c>
      <c r="W94" s="128" t="s">
        <v>67</v>
      </c>
      <c r="X94" s="126"/>
      <c r="Y94" s="128" t="s">
        <v>69</v>
      </c>
      <c r="Z94" s="126"/>
      <c r="AA94" s="129" t="s">
        <v>68</v>
      </c>
      <c r="AB94" s="130"/>
      <c r="AC94" s="131"/>
      <c r="AD94" s="55"/>
      <c r="AE94" s="40"/>
      <c r="AF94" s="145" t="s">
        <v>66</v>
      </c>
      <c r="AG94" s="128" t="s">
        <v>67</v>
      </c>
      <c r="AH94" s="126"/>
      <c r="AI94" s="128" t="s">
        <v>117</v>
      </c>
      <c r="AJ94" s="126"/>
      <c r="AK94" s="129" t="s">
        <v>68</v>
      </c>
      <c r="AL94" s="130"/>
      <c r="AM94" s="131"/>
      <c r="AN94" s="55"/>
      <c r="AO94" s="40"/>
      <c r="AP94" s="145" t="s">
        <v>66</v>
      </c>
      <c r="AQ94" s="128" t="s">
        <v>67</v>
      </c>
      <c r="AR94" s="126"/>
      <c r="AS94" s="128" t="s">
        <v>69</v>
      </c>
      <c r="AT94" s="126"/>
      <c r="AU94" s="129" t="s">
        <v>68</v>
      </c>
      <c r="AV94" s="130"/>
      <c r="AW94" s="131"/>
      <c r="AX94" s="55"/>
      <c r="AY94" s="40"/>
      <c r="AZ94" s="145" t="s">
        <v>66</v>
      </c>
      <c r="BA94" s="128" t="s">
        <v>67</v>
      </c>
      <c r="BB94" s="126"/>
      <c r="BC94" s="128" t="s">
        <v>69</v>
      </c>
      <c r="BD94" s="126"/>
      <c r="BE94" s="129" t="s">
        <v>68</v>
      </c>
      <c r="BF94" s="130"/>
      <c r="BG94" s="131"/>
      <c r="BH94" s="55"/>
      <c r="BI94" s="40"/>
      <c r="BJ94" s="145" t="s">
        <v>66</v>
      </c>
      <c r="BK94" s="128" t="s">
        <v>118</v>
      </c>
      <c r="BL94" s="126"/>
      <c r="BM94" s="128" t="s">
        <v>119</v>
      </c>
      <c r="BN94" s="126"/>
      <c r="BO94" s="129" t="s">
        <v>69</v>
      </c>
      <c r="BP94" s="130"/>
      <c r="BQ94" s="131"/>
      <c r="BR94" s="55"/>
      <c r="BS94" s="40"/>
      <c r="BT94" s="145" t="s">
        <v>66</v>
      </c>
      <c r="BU94" s="128" t="s">
        <v>67</v>
      </c>
      <c r="BV94" s="126"/>
      <c r="BW94" s="128" t="s">
        <v>68</v>
      </c>
      <c r="BX94" s="126"/>
      <c r="BY94" s="129" t="s">
        <v>69</v>
      </c>
      <c r="BZ94" s="130"/>
      <c r="CA94" s="131"/>
      <c r="CB94" s="55"/>
      <c r="CC94" s="40"/>
      <c r="CD94" s="145" t="s">
        <v>66</v>
      </c>
      <c r="CE94" s="128" t="s">
        <v>67</v>
      </c>
      <c r="CF94" s="126"/>
      <c r="CG94" s="128" t="s">
        <v>69</v>
      </c>
      <c r="CH94" s="126"/>
      <c r="CI94" s="129" t="s">
        <v>68</v>
      </c>
      <c r="CJ94" s="130"/>
      <c r="CK94" s="131"/>
      <c r="CL94" s="55"/>
      <c r="CM94" s="40"/>
      <c r="CN94" s="133" t="s">
        <v>66</v>
      </c>
      <c r="CO94" s="134"/>
      <c r="CP94" s="126"/>
      <c r="CQ94" s="134"/>
      <c r="CR94" s="126"/>
      <c r="CS94" s="135"/>
      <c r="CT94" s="130"/>
      <c r="CU94" s="131"/>
      <c r="CV94" s="136"/>
      <c r="CW94" s="137"/>
    </row>
    <row r="95" ht="15.75" customHeight="1">
      <c r="A95" s="50"/>
      <c r="B95" s="143" t="s">
        <v>71</v>
      </c>
      <c r="C95" s="125"/>
      <c r="D95" s="126"/>
      <c r="E95" s="125"/>
      <c r="F95" s="126"/>
      <c r="G95" s="125"/>
      <c r="H95" s="126"/>
      <c r="I95" s="51"/>
      <c r="J95" s="51"/>
      <c r="K95" s="52"/>
      <c r="L95" s="145" t="s">
        <v>71</v>
      </c>
      <c r="M95" s="128" t="s">
        <v>72</v>
      </c>
      <c r="N95" s="126"/>
      <c r="O95" s="128" t="s">
        <v>75</v>
      </c>
      <c r="P95" s="126"/>
      <c r="Q95" s="129" t="s">
        <v>120</v>
      </c>
      <c r="R95" s="130"/>
      <c r="S95" s="131"/>
      <c r="T95" s="55"/>
      <c r="U95" s="40"/>
      <c r="V95" s="145" t="s">
        <v>71</v>
      </c>
      <c r="W95" s="128" t="s">
        <v>72</v>
      </c>
      <c r="X95" s="126"/>
      <c r="Y95" s="128" t="s">
        <v>120</v>
      </c>
      <c r="Z95" s="126"/>
      <c r="AA95" s="129" t="s">
        <v>75</v>
      </c>
      <c r="AB95" s="130"/>
      <c r="AC95" s="131"/>
      <c r="AD95" s="55"/>
      <c r="AE95" s="40"/>
      <c r="AF95" s="145" t="s">
        <v>71</v>
      </c>
      <c r="AG95" s="128" t="s">
        <v>72</v>
      </c>
      <c r="AH95" s="126"/>
      <c r="AI95" s="128" t="s">
        <v>75</v>
      </c>
      <c r="AJ95" s="126"/>
      <c r="AK95" s="129" t="s">
        <v>73</v>
      </c>
      <c r="AL95" s="130"/>
      <c r="AM95" s="131"/>
      <c r="AN95" s="55"/>
      <c r="AO95" s="40"/>
      <c r="AP95" s="145" t="s">
        <v>71</v>
      </c>
      <c r="AQ95" s="128" t="s">
        <v>72</v>
      </c>
      <c r="AR95" s="126"/>
      <c r="AS95" s="128" t="s">
        <v>75</v>
      </c>
      <c r="AT95" s="126"/>
      <c r="AU95" s="129" t="s">
        <v>74</v>
      </c>
      <c r="AV95" s="130"/>
      <c r="AW95" s="131"/>
      <c r="AX95" s="55"/>
      <c r="AY95" s="40"/>
      <c r="AZ95" s="145" t="s">
        <v>71</v>
      </c>
      <c r="BA95" s="128" t="s">
        <v>72</v>
      </c>
      <c r="BB95" s="126"/>
      <c r="BC95" s="128" t="s">
        <v>75</v>
      </c>
      <c r="BD95" s="126"/>
      <c r="BE95" s="129" t="s">
        <v>73</v>
      </c>
      <c r="BF95" s="130"/>
      <c r="BG95" s="131"/>
      <c r="BH95" s="55"/>
      <c r="BI95" s="40"/>
      <c r="BJ95" s="145" t="s">
        <v>71</v>
      </c>
      <c r="BK95" s="128" t="s">
        <v>121</v>
      </c>
      <c r="BL95" s="126"/>
      <c r="BM95" s="128" t="s">
        <v>122</v>
      </c>
      <c r="BN95" s="126"/>
      <c r="BO95" s="129" t="s">
        <v>75</v>
      </c>
      <c r="BP95" s="130"/>
      <c r="BQ95" s="131"/>
      <c r="BR95" s="55"/>
      <c r="BS95" s="40"/>
      <c r="BT95" s="145" t="s">
        <v>71</v>
      </c>
      <c r="BU95" s="128" t="s">
        <v>123</v>
      </c>
      <c r="BV95" s="126"/>
      <c r="BW95" s="128" t="s">
        <v>75</v>
      </c>
      <c r="BX95" s="126"/>
      <c r="BY95" s="129" t="s">
        <v>124</v>
      </c>
      <c r="BZ95" s="130"/>
      <c r="CA95" s="131"/>
      <c r="CB95" s="55"/>
      <c r="CC95" s="40"/>
      <c r="CD95" s="145" t="s">
        <v>71</v>
      </c>
      <c r="CE95" s="128" t="s">
        <v>72</v>
      </c>
      <c r="CF95" s="126"/>
      <c r="CG95" s="128" t="s">
        <v>75</v>
      </c>
      <c r="CH95" s="126"/>
      <c r="CI95" s="129" t="s">
        <v>125</v>
      </c>
      <c r="CJ95" s="130"/>
      <c r="CK95" s="131"/>
      <c r="CL95" s="55"/>
      <c r="CM95" s="40"/>
      <c r="CN95" s="133" t="s">
        <v>71</v>
      </c>
      <c r="CO95" s="134"/>
      <c r="CP95" s="126"/>
      <c r="CQ95" s="134"/>
      <c r="CR95" s="126"/>
      <c r="CS95" s="135"/>
      <c r="CT95" s="130"/>
      <c r="CU95" s="131"/>
      <c r="CV95" s="136"/>
      <c r="CW95" s="137"/>
    </row>
    <row r="96" ht="15.75" customHeight="1">
      <c r="A96" s="50"/>
      <c r="B96" s="143" t="s">
        <v>76</v>
      </c>
      <c r="C96" s="125"/>
      <c r="D96" s="126"/>
      <c r="E96" s="125"/>
      <c r="F96" s="126"/>
      <c r="G96" s="125"/>
      <c r="H96" s="126"/>
      <c r="I96" s="51"/>
      <c r="J96" s="51"/>
      <c r="K96" s="52"/>
      <c r="L96" s="145" t="s">
        <v>76</v>
      </c>
      <c r="M96" s="128" t="s">
        <v>126</v>
      </c>
      <c r="N96" s="126"/>
      <c r="O96" s="128" t="s">
        <v>127</v>
      </c>
      <c r="P96" s="126"/>
      <c r="Q96" s="129" t="s">
        <v>77</v>
      </c>
      <c r="R96" s="130"/>
      <c r="S96" s="131"/>
      <c r="T96" s="55"/>
      <c r="U96" s="40"/>
      <c r="V96" s="145" t="s">
        <v>76</v>
      </c>
      <c r="W96" s="128" t="s">
        <v>77</v>
      </c>
      <c r="X96" s="126"/>
      <c r="Y96" s="128" t="s">
        <v>78</v>
      </c>
      <c r="Z96" s="126"/>
      <c r="AA96" s="129" t="s">
        <v>79</v>
      </c>
      <c r="AB96" s="130"/>
      <c r="AC96" s="131"/>
      <c r="AD96" s="55"/>
      <c r="AE96" s="40"/>
      <c r="AF96" s="145" t="s">
        <v>76</v>
      </c>
      <c r="AG96" s="128" t="s">
        <v>77</v>
      </c>
      <c r="AH96" s="126"/>
      <c r="AI96" s="128" t="s">
        <v>79</v>
      </c>
      <c r="AJ96" s="126"/>
      <c r="AK96" s="129" t="s">
        <v>78</v>
      </c>
      <c r="AL96" s="130"/>
      <c r="AM96" s="131"/>
      <c r="AN96" s="55"/>
      <c r="AO96" s="40"/>
      <c r="AP96" s="145" t="s">
        <v>76</v>
      </c>
      <c r="AQ96" s="128" t="s">
        <v>77</v>
      </c>
      <c r="AR96" s="126"/>
      <c r="AS96" s="128" t="s">
        <v>78</v>
      </c>
      <c r="AT96" s="126"/>
      <c r="AU96" s="129" t="s">
        <v>79</v>
      </c>
      <c r="AV96" s="130"/>
      <c r="AW96" s="131"/>
      <c r="AX96" s="55"/>
      <c r="AY96" s="40"/>
      <c r="AZ96" s="145" t="s">
        <v>76</v>
      </c>
      <c r="BA96" s="128" t="s">
        <v>77</v>
      </c>
      <c r="BB96" s="126"/>
      <c r="BC96" s="128" t="s">
        <v>79</v>
      </c>
      <c r="BD96" s="126"/>
      <c r="BE96" s="129" t="s">
        <v>78</v>
      </c>
      <c r="BF96" s="130"/>
      <c r="BG96" s="131"/>
      <c r="BH96" s="55"/>
      <c r="BI96" s="40"/>
      <c r="BJ96" s="145" t="s">
        <v>76</v>
      </c>
      <c r="BK96" s="128" t="s">
        <v>77</v>
      </c>
      <c r="BL96" s="126"/>
      <c r="BM96" s="128" t="s">
        <v>128</v>
      </c>
      <c r="BN96" s="126"/>
      <c r="BO96" s="129" t="s">
        <v>80</v>
      </c>
      <c r="BP96" s="130"/>
      <c r="BQ96" s="131"/>
      <c r="BR96" s="55"/>
      <c r="BS96" s="40"/>
      <c r="BT96" s="145" t="s">
        <v>76</v>
      </c>
      <c r="BU96" s="128" t="s">
        <v>129</v>
      </c>
      <c r="BV96" s="126"/>
      <c r="BW96" s="128" t="s">
        <v>78</v>
      </c>
      <c r="BX96" s="126"/>
      <c r="BY96" s="129" t="s">
        <v>79</v>
      </c>
      <c r="BZ96" s="130"/>
      <c r="CA96" s="131"/>
      <c r="CB96" s="55"/>
      <c r="CC96" s="40"/>
      <c r="CD96" s="145" t="s">
        <v>76</v>
      </c>
      <c r="CE96" s="128" t="s">
        <v>77</v>
      </c>
      <c r="CF96" s="126"/>
      <c r="CG96" s="128" t="s">
        <v>78</v>
      </c>
      <c r="CH96" s="126"/>
      <c r="CI96" s="129" t="s">
        <v>79</v>
      </c>
      <c r="CJ96" s="130"/>
      <c r="CK96" s="131"/>
      <c r="CL96" s="55"/>
      <c r="CM96" s="40"/>
      <c r="CN96" s="133" t="s">
        <v>76</v>
      </c>
      <c r="CO96" s="134"/>
      <c r="CP96" s="126"/>
      <c r="CQ96" s="134"/>
      <c r="CR96" s="126"/>
      <c r="CS96" s="135"/>
      <c r="CT96" s="130"/>
      <c r="CU96" s="131"/>
      <c r="CV96" s="136"/>
      <c r="CW96" s="137"/>
    </row>
    <row r="97" ht="15.75" customHeight="1">
      <c r="A97" s="50"/>
      <c r="B97" s="146">
        <v>0.0</v>
      </c>
      <c r="C97" s="51"/>
      <c r="D97" s="51"/>
      <c r="E97" s="51"/>
      <c r="F97" s="51"/>
      <c r="G97" s="51"/>
      <c r="H97" s="51"/>
      <c r="I97" s="51"/>
      <c r="J97" s="51"/>
      <c r="K97" s="52"/>
      <c r="L97" s="53"/>
      <c r="M97" s="147" t="s">
        <v>130</v>
      </c>
      <c r="N97" s="118"/>
      <c r="O97" s="118"/>
      <c r="P97" s="117"/>
      <c r="Q97" s="148">
        <v>0.0</v>
      </c>
      <c r="R97" s="118"/>
      <c r="S97" s="117"/>
      <c r="T97" s="55"/>
      <c r="U97" s="40">
        <f>SUM(U85:U96)</f>
        <v>0</v>
      </c>
      <c r="V97" s="53"/>
      <c r="W97" s="147" t="s">
        <v>130</v>
      </c>
      <c r="X97" s="118"/>
      <c r="Y97" s="118"/>
      <c r="Z97" s="117"/>
      <c r="AA97" s="148">
        <v>0.0</v>
      </c>
      <c r="AB97" s="118"/>
      <c r="AC97" s="117"/>
      <c r="AD97" s="55"/>
      <c r="AE97" s="40">
        <f>SUM(AE85:AE96)</f>
        <v>0</v>
      </c>
      <c r="AF97" s="53"/>
      <c r="AG97" s="147" t="s">
        <v>130</v>
      </c>
      <c r="AH97" s="118"/>
      <c r="AI97" s="118"/>
      <c r="AJ97" s="117"/>
      <c r="AK97" s="148">
        <v>0.0</v>
      </c>
      <c r="AL97" s="118"/>
      <c r="AM97" s="117"/>
      <c r="AN97" s="55"/>
      <c r="AO97" s="40">
        <f>SUM(AO85:AO96)</f>
        <v>0</v>
      </c>
      <c r="AP97" s="53"/>
      <c r="AQ97" s="147" t="s">
        <v>130</v>
      </c>
      <c r="AR97" s="118"/>
      <c r="AS97" s="118"/>
      <c r="AT97" s="117"/>
      <c r="AU97" s="148">
        <v>0.0</v>
      </c>
      <c r="AV97" s="118"/>
      <c r="AW97" s="117"/>
      <c r="AX97" s="55"/>
      <c r="AY97" s="40">
        <f>SUM(AY85:AY96)</f>
        <v>0</v>
      </c>
      <c r="AZ97" s="53"/>
      <c r="BA97" s="147" t="s">
        <v>130</v>
      </c>
      <c r="BB97" s="118"/>
      <c r="BC97" s="118"/>
      <c r="BD97" s="117"/>
      <c r="BE97" s="148">
        <v>0.0</v>
      </c>
      <c r="BF97" s="118"/>
      <c r="BG97" s="117"/>
      <c r="BH97" s="55"/>
      <c r="BI97" s="40">
        <f>SUM(BI85:BI96)</f>
        <v>0</v>
      </c>
      <c r="BJ97" s="53"/>
      <c r="BK97" s="147" t="s">
        <v>130</v>
      </c>
      <c r="BL97" s="118"/>
      <c r="BM97" s="118"/>
      <c r="BN97" s="117"/>
      <c r="BO97" s="148">
        <v>0.0</v>
      </c>
      <c r="BP97" s="118"/>
      <c r="BQ97" s="117"/>
      <c r="BR97" s="55"/>
      <c r="BS97" s="40">
        <f>SUM(BS85:BS96)</f>
        <v>0</v>
      </c>
      <c r="BT97" s="53"/>
      <c r="BU97" s="147" t="s">
        <v>130</v>
      </c>
      <c r="BV97" s="118"/>
      <c r="BW97" s="118"/>
      <c r="BX97" s="117"/>
      <c r="BY97" s="148">
        <v>0.0</v>
      </c>
      <c r="BZ97" s="118"/>
      <c r="CA97" s="117"/>
      <c r="CB97" s="55"/>
      <c r="CC97" s="40">
        <f>SUM(CC85:CC96)</f>
        <v>0</v>
      </c>
      <c r="CD97" s="53"/>
      <c r="CE97" s="147" t="s">
        <v>130</v>
      </c>
      <c r="CF97" s="118"/>
      <c r="CG97" s="118"/>
      <c r="CH97" s="117"/>
      <c r="CI97" s="148">
        <v>0.0</v>
      </c>
      <c r="CJ97" s="118"/>
      <c r="CK97" s="117"/>
      <c r="CL97" s="55"/>
      <c r="CM97" s="40">
        <f>SUM(CM85:CM96)</f>
        <v>0</v>
      </c>
      <c r="CN97" s="149"/>
      <c r="CO97" s="150" t="s">
        <v>130</v>
      </c>
      <c r="CP97" s="118"/>
      <c r="CQ97" s="118"/>
      <c r="CR97" s="117"/>
      <c r="CS97" s="151">
        <v>0.0</v>
      </c>
      <c r="CT97" s="118"/>
      <c r="CU97" s="117"/>
      <c r="CV97" s="136"/>
      <c r="CW97" s="152">
        <f>SUM(CW85:CW96)</f>
        <v>0</v>
      </c>
    </row>
    <row r="98" ht="15.75" customHeight="1">
      <c r="A98" s="50"/>
      <c r="B98" s="51"/>
      <c r="C98" s="51"/>
      <c r="D98" s="51"/>
      <c r="E98" s="51"/>
      <c r="F98" s="51"/>
      <c r="G98" s="51"/>
      <c r="H98" s="51"/>
      <c r="I98" s="51"/>
      <c r="J98" s="51"/>
      <c r="K98" s="52"/>
      <c r="L98" s="53" t="s">
        <v>131</v>
      </c>
      <c r="M98" s="54"/>
      <c r="N98" s="55"/>
      <c r="O98" s="55"/>
      <c r="P98" s="54"/>
      <c r="Q98" s="54"/>
      <c r="R98" s="54"/>
      <c r="S98" s="16"/>
      <c r="T98" s="55"/>
      <c r="U98" s="153">
        <v>0.0</v>
      </c>
      <c r="V98" s="53" t="s">
        <v>131</v>
      </c>
      <c r="W98" s="54"/>
      <c r="X98" s="55"/>
      <c r="Y98" s="55"/>
      <c r="Z98" s="54"/>
      <c r="AA98" s="54"/>
      <c r="AB98" s="54"/>
      <c r="AC98" s="16"/>
      <c r="AD98" s="55"/>
      <c r="AE98" s="153">
        <v>0.0</v>
      </c>
      <c r="AF98" s="53" t="s">
        <v>131</v>
      </c>
      <c r="AG98" s="54"/>
      <c r="AH98" s="55"/>
      <c r="AI98" s="55"/>
      <c r="AJ98" s="54"/>
      <c r="AK98" s="54"/>
      <c r="AL98" s="54"/>
      <c r="AM98" s="16"/>
      <c r="AN98" s="55"/>
      <c r="AO98" s="153">
        <v>0.0</v>
      </c>
      <c r="AP98" s="53" t="s">
        <v>131</v>
      </c>
      <c r="AQ98" s="54"/>
      <c r="AR98" s="55"/>
      <c r="AS98" s="55"/>
      <c r="AT98" s="54"/>
      <c r="AU98" s="54"/>
      <c r="AV98" s="54"/>
      <c r="AW98" s="16"/>
      <c r="AX98" s="55"/>
      <c r="AY98" s="153">
        <v>0.0</v>
      </c>
      <c r="AZ98" s="53" t="s">
        <v>131</v>
      </c>
      <c r="BA98" s="54"/>
      <c r="BB98" s="55"/>
      <c r="BC98" s="55"/>
      <c r="BD98" s="54"/>
      <c r="BE98" s="54"/>
      <c r="BF98" s="54"/>
      <c r="BG98" s="16"/>
      <c r="BH98" s="55"/>
      <c r="BI98" s="153">
        <v>0.0</v>
      </c>
      <c r="BJ98" s="53" t="s">
        <v>131</v>
      </c>
      <c r="BK98" s="54"/>
      <c r="BL98" s="55"/>
      <c r="BM98" s="55"/>
      <c r="BN98" s="54"/>
      <c r="BO98" s="54"/>
      <c r="BP98" s="54"/>
      <c r="BQ98" s="16"/>
      <c r="BR98" s="55"/>
      <c r="BS98" s="153">
        <v>0.0</v>
      </c>
      <c r="BT98" s="53" t="s">
        <v>131</v>
      </c>
      <c r="BU98" s="54"/>
      <c r="BV98" s="55"/>
      <c r="BW98" s="55"/>
      <c r="BX98" s="54"/>
      <c r="BY98" s="54"/>
      <c r="BZ98" s="54"/>
      <c r="CA98" s="16"/>
      <c r="CB98" s="55"/>
      <c r="CC98" s="153">
        <v>0.0</v>
      </c>
      <c r="CD98" s="53" t="s">
        <v>131</v>
      </c>
      <c r="CE98" s="54"/>
      <c r="CF98" s="55"/>
      <c r="CG98" s="55"/>
      <c r="CH98" s="54"/>
      <c r="CI98" s="54"/>
      <c r="CJ98" s="54"/>
      <c r="CK98" s="16"/>
      <c r="CL98" s="55"/>
      <c r="CM98" s="153">
        <v>0.0</v>
      </c>
      <c r="CN98" s="154" t="s">
        <v>131</v>
      </c>
      <c r="CO98" s="21"/>
      <c r="CP98" s="21"/>
      <c r="CQ98" s="21"/>
      <c r="CR98" s="21"/>
      <c r="CS98" s="21"/>
      <c r="CT98" s="21"/>
      <c r="CU98" s="21"/>
      <c r="CV98" s="21"/>
      <c r="CW98" s="155">
        <v>0.0</v>
      </c>
    </row>
    <row r="99" ht="15.75" customHeight="1">
      <c r="A99" s="50"/>
      <c r="B99" s="51"/>
      <c r="C99" s="51"/>
      <c r="D99" s="51"/>
      <c r="E99" s="51"/>
      <c r="F99" s="51"/>
      <c r="G99" s="51"/>
      <c r="H99" s="51"/>
      <c r="I99" s="51"/>
      <c r="J99" s="51"/>
      <c r="K99" s="52"/>
      <c r="L99" s="53" t="s">
        <v>52</v>
      </c>
      <c r="M99" s="54"/>
      <c r="N99" s="55"/>
      <c r="O99" s="55"/>
      <c r="P99" s="54"/>
      <c r="Q99" s="54"/>
      <c r="R99" s="54"/>
      <c r="S99" s="16"/>
      <c r="T99" s="55"/>
      <c r="U99" s="70"/>
      <c r="V99" s="53" t="s">
        <v>52</v>
      </c>
      <c r="W99" s="54"/>
      <c r="X99" s="55"/>
      <c r="Y99" s="55"/>
      <c r="Z99" s="54"/>
      <c r="AA99" s="54"/>
      <c r="AB99" s="54"/>
      <c r="AC99" s="16"/>
      <c r="AD99" s="55"/>
      <c r="AE99" s="70"/>
      <c r="AF99" s="53" t="s">
        <v>52</v>
      </c>
      <c r="AG99" s="54"/>
      <c r="AH99" s="55"/>
      <c r="AI99" s="55"/>
      <c r="AJ99" s="54"/>
      <c r="AK99" s="54"/>
      <c r="AL99" s="54"/>
      <c r="AM99" s="16"/>
      <c r="AN99" s="55"/>
      <c r="AO99" s="70"/>
      <c r="AP99" s="53" t="s">
        <v>52</v>
      </c>
      <c r="AQ99" s="54"/>
      <c r="AR99" s="55"/>
      <c r="AS99" s="55"/>
      <c r="AT99" s="54"/>
      <c r="AU99" s="54"/>
      <c r="AV99" s="54"/>
      <c r="AW99" s="16"/>
      <c r="AX99" s="55"/>
      <c r="AY99" s="70"/>
      <c r="AZ99" s="53" t="s">
        <v>52</v>
      </c>
      <c r="BA99" s="54"/>
      <c r="BB99" s="55"/>
      <c r="BC99" s="55"/>
      <c r="BD99" s="54"/>
      <c r="BE99" s="54"/>
      <c r="BF99" s="54"/>
      <c r="BG99" s="16"/>
      <c r="BH99" s="55"/>
      <c r="BI99" s="70"/>
      <c r="BJ99" s="53" t="s">
        <v>52</v>
      </c>
      <c r="BK99" s="54"/>
      <c r="BL99" s="55"/>
      <c r="BM99" s="55"/>
      <c r="BN99" s="54"/>
      <c r="BO99" s="54"/>
      <c r="BP99" s="54"/>
      <c r="BQ99" s="16"/>
      <c r="BR99" s="55"/>
      <c r="BS99" s="70"/>
      <c r="BT99" s="53" t="s">
        <v>52</v>
      </c>
      <c r="BU99" s="54"/>
      <c r="BV99" s="55"/>
      <c r="BW99" s="55"/>
      <c r="BX99" s="54"/>
      <c r="BY99" s="54"/>
      <c r="BZ99" s="54"/>
      <c r="CA99" s="16"/>
      <c r="CB99" s="55"/>
      <c r="CC99" s="70"/>
      <c r="CD99" s="53" t="s">
        <v>52</v>
      </c>
      <c r="CE99" s="54"/>
      <c r="CF99" s="55"/>
      <c r="CG99" s="55"/>
      <c r="CH99" s="54"/>
      <c r="CI99" s="54"/>
      <c r="CJ99" s="54"/>
      <c r="CK99" s="16"/>
      <c r="CL99" s="55"/>
      <c r="CM99" s="70"/>
      <c r="CN99" s="154" t="s">
        <v>52</v>
      </c>
      <c r="CO99" s="21"/>
      <c r="CP99" s="21"/>
      <c r="CQ99" s="21"/>
      <c r="CR99" s="21"/>
      <c r="CS99" s="21"/>
      <c r="CT99" s="21"/>
      <c r="CU99" s="21"/>
      <c r="CV99" s="21"/>
      <c r="CW99" s="76"/>
    </row>
    <row r="100" ht="15.75" customHeight="1">
      <c r="A100" s="50"/>
      <c r="B100" s="33"/>
      <c r="C100" s="33"/>
      <c r="D100" s="51"/>
      <c r="E100" s="156"/>
      <c r="F100" s="157" t="s">
        <v>18</v>
      </c>
      <c r="G100" s="158"/>
      <c r="H100" s="156"/>
      <c r="I100" s="159" t="s">
        <v>132</v>
      </c>
      <c r="J100" s="37"/>
      <c r="K100" s="160"/>
      <c r="L100" s="53" t="s">
        <v>133</v>
      </c>
      <c r="M100" s="161"/>
      <c r="N100" s="162" t="s">
        <v>18</v>
      </c>
      <c r="O100" s="158"/>
      <c r="P100" s="163"/>
      <c r="Q100" s="162" t="s">
        <v>132</v>
      </c>
      <c r="R100" s="158"/>
      <c r="S100" s="54"/>
      <c r="T100" s="164"/>
      <c r="U100" s="153"/>
      <c r="V100" s="53" t="s">
        <v>133</v>
      </c>
      <c r="W100" s="161"/>
      <c r="X100" s="162" t="s">
        <v>18</v>
      </c>
      <c r="Y100" s="158"/>
      <c r="Z100" s="163"/>
      <c r="AA100" s="162" t="s">
        <v>132</v>
      </c>
      <c r="AB100" s="158"/>
      <c r="AC100" s="54"/>
      <c r="AD100" s="164"/>
      <c r="AE100" s="153"/>
      <c r="AF100" s="53" t="s">
        <v>133</v>
      </c>
      <c r="AG100" s="161"/>
      <c r="AH100" s="162" t="s">
        <v>18</v>
      </c>
      <c r="AI100" s="158"/>
      <c r="AJ100" s="163"/>
      <c r="AK100" s="162" t="s">
        <v>132</v>
      </c>
      <c r="AL100" s="158"/>
      <c r="AM100" s="54"/>
      <c r="AN100" s="164"/>
      <c r="AO100" s="153"/>
      <c r="AP100" s="53" t="s">
        <v>133</v>
      </c>
      <c r="AQ100" s="161"/>
      <c r="AR100" s="162" t="s">
        <v>18</v>
      </c>
      <c r="AS100" s="158"/>
      <c r="AT100" s="163"/>
      <c r="AU100" s="162" t="s">
        <v>132</v>
      </c>
      <c r="AV100" s="158"/>
      <c r="AW100" s="54"/>
      <c r="AX100" s="164"/>
      <c r="AY100" s="153"/>
      <c r="AZ100" s="53" t="s">
        <v>133</v>
      </c>
      <c r="BA100" s="161"/>
      <c r="BB100" s="162" t="s">
        <v>18</v>
      </c>
      <c r="BC100" s="158"/>
      <c r="BD100" s="163"/>
      <c r="BE100" s="162" t="s">
        <v>132</v>
      </c>
      <c r="BF100" s="158"/>
      <c r="BG100" s="54"/>
      <c r="BH100" s="164"/>
      <c r="BI100" s="153"/>
      <c r="BJ100" s="53" t="s">
        <v>133</v>
      </c>
      <c r="BK100" s="161"/>
      <c r="BL100" s="162" t="s">
        <v>18</v>
      </c>
      <c r="BM100" s="158"/>
      <c r="BN100" s="163"/>
      <c r="BO100" s="162" t="s">
        <v>132</v>
      </c>
      <c r="BP100" s="158"/>
      <c r="BQ100" s="54"/>
      <c r="BR100" s="164"/>
      <c r="BS100" s="153"/>
      <c r="BT100" s="53" t="s">
        <v>133</v>
      </c>
      <c r="BU100" s="161"/>
      <c r="BV100" s="162" t="s">
        <v>18</v>
      </c>
      <c r="BW100" s="158"/>
      <c r="BX100" s="163"/>
      <c r="BY100" s="162" t="s">
        <v>132</v>
      </c>
      <c r="BZ100" s="158"/>
      <c r="CA100" s="54"/>
      <c r="CB100" s="164"/>
      <c r="CC100" s="153"/>
      <c r="CD100" s="53" t="s">
        <v>133</v>
      </c>
      <c r="CE100" s="161"/>
      <c r="CF100" s="162" t="s">
        <v>18</v>
      </c>
      <c r="CG100" s="158"/>
      <c r="CH100" s="163"/>
      <c r="CI100" s="162" t="s">
        <v>132</v>
      </c>
      <c r="CJ100" s="158"/>
      <c r="CK100" s="54"/>
      <c r="CL100" s="164"/>
      <c r="CM100" s="153"/>
      <c r="CN100" s="154" t="s">
        <v>133</v>
      </c>
      <c r="CO100" s="95"/>
      <c r="CP100" s="165" t="s">
        <v>18</v>
      </c>
      <c r="CQ100" s="158"/>
      <c r="CR100" s="95"/>
      <c r="CS100" s="165" t="s">
        <v>132</v>
      </c>
      <c r="CT100" s="158"/>
      <c r="CU100" s="21"/>
      <c r="CV100" s="21"/>
      <c r="CW100" s="76"/>
    </row>
    <row r="101" ht="15.75" customHeight="1">
      <c r="A101" s="50"/>
      <c r="B101" s="101">
        <v>73.0</v>
      </c>
      <c r="C101" s="166" t="s">
        <v>134</v>
      </c>
      <c r="D101" s="167"/>
      <c r="E101" s="167"/>
      <c r="F101" s="77"/>
      <c r="G101" s="77"/>
      <c r="H101" s="168"/>
      <c r="I101" s="33"/>
      <c r="J101" s="33"/>
      <c r="K101" s="160"/>
      <c r="L101" s="53"/>
      <c r="M101" s="169"/>
      <c r="N101" s="77"/>
      <c r="O101" s="77"/>
      <c r="P101" s="170"/>
      <c r="Q101" s="171"/>
      <c r="R101" s="171"/>
      <c r="S101" s="172"/>
      <c r="T101" s="40"/>
      <c r="U101" s="40"/>
      <c r="V101" s="53"/>
      <c r="W101" s="169"/>
      <c r="X101" s="77"/>
      <c r="Y101" s="77"/>
      <c r="Z101" s="170"/>
      <c r="AA101" s="171"/>
      <c r="AB101" s="171"/>
      <c r="AC101" s="172"/>
      <c r="AD101" s="40"/>
      <c r="AE101" s="40"/>
      <c r="AF101" s="53"/>
      <c r="AG101" s="169"/>
      <c r="AH101" s="77"/>
      <c r="AI101" s="77"/>
      <c r="AJ101" s="170"/>
      <c r="AK101" s="171"/>
      <c r="AL101" s="171"/>
      <c r="AM101" s="172"/>
      <c r="AN101" s="40"/>
      <c r="AO101" s="40"/>
      <c r="AP101" s="53"/>
      <c r="AQ101" s="169"/>
      <c r="AR101" s="77"/>
      <c r="AS101" s="77"/>
      <c r="AT101" s="170"/>
      <c r="AU101" s="171"/>
      <c r="AV101" s="171"/>
      <c r="AW101" s="172"/>
      <c r="AX101" s="40"/>
      <c r="AY101" s="40"/>
      <c r="AZ101" s="53"/>
      <c r="BA101" s="169"/>
      <c r="BB101" s="77"/>
      <c r="BC101" s="77"/>
      <c r="BD101" s="170"/>
      <c r="BE101" s="171"/>
      <c r="BF101" s="171"/>
      <c r="BG101" s="172"/>
      <c r="BH101" s="40"/>
      <c r="BI101" s="40"/>
      <c r="BJ101" s="53"/>
      <c r="BK101" s="169"/>
      <c r="BL101" s="77"/>
      <c r="BM101" s="77"/>
      <c r="BN101" s="170"/>
      <c r="BO101" s="171"/>
      <c r="BP101" s="171"/>
      <c r="BQ101" s="172"/>
      <c r="BR101" s="40"/>
      <c r="BS101" s="40"/>
      <c r="BT101" s="53"/>
      <c r="BU101" s="169"/>
      <c r="BV101" s="77"/>
      <c r="BW101" s="77"/>
      <c r="BX101" s="170"/>
      <c r="BY101" s="171"/>
      <c r="BZ101" s="171"/>
      <c r="CA101" s="172"/>
      <c r="CB101" s="40"/>
      <c r="CC101" s="40"/>
      <c r="CD101" s="53"/>
      <c r="CE101" s="169"/>
      <c r="CF101" s="77"/>
      <c r="CG101" s="77"/>
      <c r="CH101" s="170"/>
      <c r="CI101" s="171"/>
      <c r="CJ101" s="171"/>
      <c r="CK101" s="172"/>
      <c r="CL101" s="40"/>
      <c r="CM101" s="40"/>
      <c r="CN101" s="149"/>
      <c r="CO101" s="173"/>
      <c r="CP101" s="174"/>
      <c r="CQ101" s="174"/>
      <c r="CR101" s="173"/>
      <c r="CS101" s="173"/>
      <c r="CT101" s="173"/>
      <c r="CU101" s="136"/>
      <c r="CV101" s="137"/>
      <c r="CW101" s="137"/>
    </row>
    <row r="102" ht="15.75" customHeight="1">
      <c r="A102" s="50"/>
      <c r="B102" s="101">
        <v>74.0</v>
      </c>
      <c r="C102" s="166" t="s">
        <v>134</v>
      </c>
      <c r="D102" s="167"/>
      <c r="E102" s="167"/>
      <c r="F102" s="77"/>
      <c r="G102" s="77"/>
      <c r="H102" s="168"/>
      <c r="I102" s="33"/>
      <c r="J102" s="33"/>
      <c r="K102" s="160"/>
      <c r="L102" s="53"/>
      <c r="M102" s="169"/>
      <c r="N102" s="77"/>
      <c r="O102" s="77"/>
      <c r="P102" s="170"/>
      <c r="Q102" s="175"/>
      <c r="R102" s="175"/>
      <c r="S102" s="172"/>
      <c r="T102" s="40"/>
      <c r="U102" s="40"/>
      <c r="V102" s="53"/>
      <c r="W102" s="169"/>
      <c r="X102" s="77"/>
      <c r="Y102" s="77"/>
      <c r="Z102" s="170"/>
      <c r="AA102" s="175"/>
      <c r="AB102" s="175"/>
      <c r="AC102" s="172"/>
      <c r="AD102" s="40"/>
      <c r="AE102" s="40"/>
      <c r="AF102" s="53"/>
      <c r="AG102" s="169"/>
      <c r="AH102" s="77"/>
      <c r="AI102" s="77"/>
      <c r="AJ102" s="170"/>
      <c r="AK102" s="175"/>
      <c r="AL102" s="175"/>
      <c r="AM102" s="172"/>
      <c r="AN102" s="40"/>
      <c r="AO102" s="40"/>
      <c r="AP102" s="53"/>
      <c r="AQ102" s="169"/>
      <c r="AR102" s="77"/>
      <c r="AS102" s="77"/>
      <c r="AT102" s="170"/>
      <c r="AU102" s="175"/>
      <c r="AV102" s="175"/>
      <c r="AW102" s="172"/>
      <c r="AX102" s="40"/>
      <c r="AY102" s="40"/>
      <c r="AZ102" s="53"/>
      <c r="BA102" s="169"/>
      <c r="BB102" s="77"/>
      <c r="BC102" s="77"/>
      <c r="BD102" s="170"/>
      <c r="BE102" s="175"/>
      <c r="BF102" s="175"/>
      <c r="BG102" s="172"/>
      <c r="BH102" s="40"/>
      <c r="BI102" s="40"/>
      <c r="BJ102" s="53"/>
      <c r="BK102" s="169"/>
      <c r="BL102" s="77"/>
      <c r="BM102" s="77"/>
      <c r="BN102" s="170"/>
      <c r="BO102" s="175"/>
      <c r="BP102" s="175"/>
      <c r="BQ102" s="172"/>
      <c r="BR102" s="40"/>
      <c r="BS102" s="40"/>
      <c r="BT102" s="53"/>
      <c r="BU102" s="169"/>
      <c r="BV102" s="77"/>
      <c r="BW102" s="77"/>
      <c r="BX102" s="170"/>
      <c r="BY102" s="175"/>
      <c r="BZ102" s="175"/>
      <c r="CA102" s="172"/>
      <c r="CB102" s="40"/>
      <c r="CC102" s="40"/>
      <c r="CD102" s="53"/>
      <c r="CE102" s="169"/>
      <c r="CF102" s="77"/>
      <c r="CG102" s="77"/>
      <c r="CH102" s="170"/>
      <c r="CI102" s="175"/>
      <c r="CJ102" s="175"/>
      <c r="CK102" s="172"/>
      <c r="CL102" s="40"/>
      <c r="CM102" s="40"/>
      <c r="CN102" s="149"/>
      <c r="CO102" s="173"/>
      <c r="CP102" s="174"/>
      <c r="CQ102" s="174"/>
      <c r="CR102" s="173"/>
      <c r="CS102" s="176"/>
      <c r="CT102" s="176"/>
      <c r="CU102" s="136"/>
      <c r="CV102" s="137"/>
      <c r="CW102" s="137"/>
    </row>
    <row r="103" ht="15.75" customHeight="1">
      <c r="A103" s="50"/>
      <c r="B103" s="101">
        <v>75.0</v>
      </c>
      <c r="C103" s="166" t="s">
        <v>134</v>
      </c>
      <c r="D103" s="167"/>
      <c r="E103" s="167"/>
      <c r="F103" s="77"/>
      <c r="G103" s="77"/>
      <c r="H103" s="168"/>
      <c r="I103" s="33"/>
      <c r="J103" s="33"/>
      <c r="K103" s="160"/>
      <c r="L103" s="53"/>
      <c r="M103" s="169"/>
      <c r="N103" s="77"/>
      <c r="O103" s="77"/>
      <c r="P103" s="170"/>
      <c r="Q103" s="175"/>
      <c r="R103" s="175"/>
      <c r="S103" s="172"/>
      <c r="T103" s="40"/>
      <c r="U103" s="40"/>
      <c r="V103" s="53"/>
      <c r="W103" s="169"/>
      <c r="X103" s="77"/>
      <c r="Y103" s="77"/>
      <c r="Z103" s="170"/>
      <c r="AA103" s="175"/>
      <c r="AB103" s="175"/>
      <c r="AC103" s="172"/>
      <c r="AD103" s="40"/>
      <c r="AE103" s="40"/>
      <c r="AF103" s="53"/>
      <c r="AG103" s="169"/>
      <c r="AH103" s="77"/>
      <c r="AI103" s="77"/>
      <c r="AJ103" s="170"/>
      <c r="AK103" s="175"/>
      <c r="AL103" s="175"/>
      <c r="AM103" s="172"/>
      <c r="AN103" s="40"/>
      <c r="AO103" s="40"/>
      <c r="AP103" s="53"/>
      <c r="AQ103" s="169"/>
      <c r="AR103" s="77"/>
      <c r="AS103" s="77"/>
      <c r="AT103" s="170"/>
      <c r="AU103" s="175"/>
      <c r="AV103" s="175"/>
      <c r="AW103" s="172"/>
      <c r="AX103" s="40"/>
      <c r="AY103" s="40"/>
      <c r="AZ103" s="53"/>
      <c r="BA103" s="169"/>
      <c r="BB103" s="77"/>
      <c r="BC103" s="77"/>
      <c r="BD103" s="170"/>
      <c r="BE103" s="175"/>
      <c r="BF103" s="175"/>
      <c r="BG103" s="172"/>
      <c r="BH103" s="40"/>
      <c r="BI103" s="40"/>
      <c r="BJ103" s="53"/>
      <c r="BK103" s="169"/>
      <c r="BL103" s="77"/>
      <c r="BM103" s="77"/>
      <c r="BN103" s="170"/>
      <c r="BO103" s="175"/>
      <c r="BP103" s="175"/>
      <c r="BQ103" s="172"/>
      <c r="BR103" s="40"/>
      <c r="BS103" s="40"/>
      <c r="BT103" s="53"/>
      <c r="BU103" s="169"/>
      <c r="BV103" s="77"/>
      <c r="BW103" s="77"/>
      <c r="BX103" s="170"/>
      <c r="BY103" s="175"/>
      <c r="BZ103" s="175"/>
      <c r="CA103" s="172"/>
      <c r="CB103" s="40"/>
      <c r="CC103" s="40"/>
      <c r="CD103" s="53"/>
      <c r="CE103" s="169"/>
      <c r="CF103" s="77"/>
      <c r="CG103" s="77"/>
      <c r="CH103" s="170"/>
      <c r="CI103" s="175"/>
      <c r="CJ103" s="175"/>
      <c r="CK103" s="172"/>
      <c r="CL103" s="40"/>
      <c r="CM103" s="40"/>
      <c r="CN103" s="149"/>
      <c r="CO103" s="173"/>
      <c r="CP103" s="174"/>
      <c r="CQ103" s="174"/>
      <c r="CR103" s="173"/>
      <c r="CS103" s="176"/>
      <c r="CT103" s="176"/>
      <c r="CU103" s="136"/>
      <c r="CV103" s="137"/>
      <c r="CW103" s="137"/>
    </row>
    <row r="104" ht="15.75" customHeight="1">
      <c r="A104" s="50"/>
      <c r="B104" s="101">
        <v>76.0</v>
      </c>
      <c r="C104" s="166" t="s">
        <v>134</v>
      </c>
      <c r="D104" s="167"/>
      <c r="E104" s="167"/>
      <c r="F104" s="77"/>
      <c r="G104" s="77"/>
      <c r="H104" s="168"/>
      <c r="I104" s="33"/>
      <c r="J104" s="33"/>
      <c r="K104" s="160"/>
      <c r="L104" s="53"/>
      <c r="M104" s="169"/>
      <c r="N104" s="77"/>
      <c r="O104" s="77"/>
      <c r="P104" s="170"/>
      <c r="Q104" s="175"/>
      <c r="R104" s="175"/>
      <c r="S104" s="172"/>
      <c r="T104" s="40"/>
      <c r="U104" s="40"/>
      <c r="V104" s="53"/>
      <c r="W104" s="169"/>
      <c r="X104" s="77"/>
      <c r="Y104" s="77"/>
      <c r="Z104" s="170"/>
      <c r="AA104" s="175"/>
      <c r="AB104" s="175"/>
      <c r="AC104" s="172"/>
      <c r="AD104" s="40"/>
      <c r="AE104" s="40"/>
      <c r="AF104" s="53"/>
      <c r="AG104" s="169"/>
      <c r="AH104" s="77"/>
      <c r="AI104" s="77"/>
      <c r="AJ104" s="170"/>
      <c r="AK104" s="175"/>
      <c r="AL104" s="175"/>
      <c r="AM104" s="172"/>
      <c r="AN104" s="40"/>
      <c r="AO104" s="40"/>
      <c r="AP104" s="53"/>
      <c r="AQ104" s="169"/>
      <c r="AR104" s="77"/>
      <c r="AS104" s="77"/>
      <c r="AT104" s="170"/>
      <c r="AU104" s="175"/>
      <c r="AV104" s="175"/>
      <c r="AW104" s="172"/>
      <c r="AX104" s="40"/>
      <c r="AY104" s="40"/>
      <c r="AZ104" s="53"/>
      <c r="BA104" s="169"/>
      <c r="BB104" s="77"/>
      <c r="BC104" s="77"/>
      <c r="BD104" s="170"/>
      <c r="BE104" s="175"/>
      <c r="BF104" s="175"/>
      <c r="BG104" s="172"/>
      <c r="BH104" s="40"/>
      <c r="BI104" s="40"/>
      <c r="BJ104" s="53"/>
      <c r="BK104" s="169"/>
      <c r="BL104" s="77"/>
      <c r="BM104" s="77"/>
      <c r="BN104" s="170"/>
      <c r="BO104" s="175"/>
      <c r="BP104" s="175"/>
      <c r="BQ104" s="172"/>
      <c r="BR104" s="40"/>
      <c r="BS104" s="40"/>
      <c r="BT104" s="53"/>
      <c r="BU104" s="169"/>
      <c r="BV104" s="77"/>
      <c r="BW104" s="77"/>
      <c r="BX104" s="170"/>
      <c r="BY104" s="175"/>
      <c r="BZ104" s="175"/>
      <c r="CA104" s="172"/>
      <c r="CB104" s="40"/>
      <c r="CC104" s="40"/>
      <c r="CD104" s="53"/>
      <c r="CE104" s="169"/>
      <c r="CF104" s="77"/>
      <c r="CG104" s="77"/>
      <c r="CH104" s="170"/>
      <c r="CI104" s="175"/>
      <c r="CJ104" s="175"/>
      <c r="CK104" s="172"/>
      <c r="CL104" s="40"/>
      <c r="CM104" s="40"/>
      <c r="CN104" s="149"/>
      <c r="CO104" s="173"/>
      <c r="CP104" s="174"/>
      <c r="CQ104" s="174"/>
      <c r="CR104" s="173"/>
      <c r="CS104" s="176"/>
      <c r="CT104" s="176"/>
      <c r="CU104" s="136"/>
      <c r="CV104" s="137"/>
      <c r="CW104" s="137"/>
    </row>
    <row r="105" ht="15.75" customHeight="1">
      <c r="A105" s="50"/>
      <c r="B105" s="101">
        <v>77.0</v>
      </c>
      <c r="C105" s="166" t="s">
        <v>134</v>
      </c>
      <c r="D105" s="167"/>
      <c r="E105" s="167"/>
      <c r="F105" s="77"/>
      <c r="G105" s="77"/>
      <c r="H105" s="168"/>
      <c r="I105" s="33"/>
      <c r="J105" s="33"/>
      <c r="K105" s="160"/>
      <c r="L105" s="53"/>
      <c r="M105" s="169"/>
      <c r="N105" s="77"/>
      <c r="O105" s="77"/>
      <c r="P105" s="170"/>
      <c r="Q105" s="175"/>
      <c r="R105" s="175"/>
      <c r="S105" s="172"/>
      <c r="T105" s="40"/>
      <c r="U105" s="40"/>
      <c r="V105" s="53"/>
      <c r="W105" s="169"/>
      <c r="X105" s="77"/>
      <c r="Y105" s="77"/>
      <c r="Z105" s="170"/>
      <c r="AA105" s="175"/>
      <c r="AB105" s="175"/>
      <c r="AC105" s="172"/>
      <c r="AD105" s="40"/>
      <c r="AE105" s="40"/>
      <c r="AF105" s="53"/>
      <c r="AG105" s="169"/>
      <c r="AH105" s="77"/>
      <c r="AI105" s="77"/>
      <c r="AJ105" s="170"/>
      <c r="AK105" s="175"/>
      <c r="AL105" s="175"/>
      <c r="AM105" s="172"/>
      <c r="AN105" s="40"/>
      <c r="AO105" s="40"/>
      <c r="AP105" s="53"/>
      <c r="AQ105" s="169"/>
      <c r="AR105" s="77"/>
      <c r="AS105" s="77"/>
      <c r="AT105" s="170"/>
      <c r="AU105" s="175"/>
      <c r="AV105" s="175"/>
      <c r="AW105" s="172"/>
      <c r="AX105" s="40"/>
      <c r="AY105" s="40"/>
      <c r="AZ105" s="53"/>
      <c r="BA105" s="169"/>
      <c r="BB105" s="77"/>
      <c r="BC105" s="77"/>
      <c r="BD105" s="170"/>
      <c r="BE105" s="175"/>
      <c r="BF105" s="175"/>
      <c r="BG105" s="172"/>
      <c r="BH105" s="40"/>
      <c r="BI105" s="40"/>
      <c r="BJ105" s="53"/>
      <c r="BK105" s="169"/>
      <c r="BL105" s="77"/>
      <c r="BM105" s="77"/>
      <c r="BN105" s="170"/>
      <c r="BO105" s="175"/>
      <c r="BP105" s="175"/>
      <c r="BQ105" s="172"/>
      <c r="BR105" s="40"/>
      <c r="BS105" s="40"/>
      <c r="BT105" s="53"/>
      <c r="BU105" s="169"/>
      <c r="BV105" s="77"/>
      <c r="BW105" s="77"/>
      <c r="BX105" s="170"/>
      <c r="BY105" s="175"/>
      <c r="BZ105" s="175"/>
      <c r="CA105" s="172"/>
      <c r="CB105" s="40"/>
      <c r="CC105" s="40"/>
      <c r="CD105" s="53"/>
      <c r="CE105" s="169"/>
      <c r="CF105" s="77"/>
      <c r="CG105" s="77"/>
      <c r="CH105" s="170"/>
      <c r="CI105" s="175"/>
      <c r="CJ105" s="175"/>
      <c r="CK105" s="172"/>
      <c r="CL105" s="40"/>
      <c r="CM105" s="40"/>
      <c r="CN105" s="149"/>
      <c r="CO105" s="173"/>
      <c r="CP105" s="174"/>
      <c r="CQ105" s="174"/>
      <c r="CR105" s="173"/>
      <c r="CS105" s="176"/>
      <c r="CT105" s="176"/>
      <c r="CU105" s="136"/>
      <c r="CV105" s="137"/>
      <c r="CW105" s="137"/>
    </row>
    <row r="106" ht="15.75" customHeight="1">
      <c r="A106" s="50"/>
      <c r="B106" s="101">
        <v>78.0</v>
      </c>
      <c r="C106" s="166" t="s">
        <v>134</v>
      </c>
      <c r="D106" s="167"/>
      <c r="E106" s="167"/>
      <c r="F106" s="77"/>
      <c r="G106" s="77"/>
      <c r="H106" s="168"/>
      <c r="I106" s="33"/>
      <c r="J106" s="33"/>
      <c r="K106" s="160"/>
      <c r="L106" s="53"/>
      <c r="M106" s="169"/>
      <c r="N106" s="77"/>
      <c r="O106" s="77"/>
      <c r="P106" s="170"/>
      <c r="Q106" s="175"/>
      <c r="R106" s="175"/>
      <c r="S106" s="172"/>
      <c r="T106" s="40"/>
      <c r="U106" s="40"/>
      <c r="V106" s="53"/>
      <c r="W106" s="169"/>
      <c r="X106" s="77"/>
      <c r="Y106" s="77"/>
      <c r="Z106" s="170"/>
      <c r="AA106" s="175"/>
      <c r="AB106" s="175"/>
      <c r="AC106" s="172"/>
      <c r="AD106" s="40"/>
      <c r="AE106" s="40"/>
      <c r="AF106" s="53"/>
      <c r="AG106" s="169"/>
      <c r="AH106" s="77"/>
      <c r="AI106" s="77"/>
      <c r="AJ106" s="170"/>
      <c r="AK106" s="175"/>
      <c r="AL106" s="175"/>
      <c r="AM106" s="172"/>
      <c r="AN106" s="40"/>
      <c r="AO106" s="40"/>
      <c r="AP106" s="53"/>
      <c r="AQ106" s="169"/>
      <c r="AR106" s="77"/>
      <c r="AS106" s="77"/>
      <c r="AT106" s="170"/>
      <c r="AU106" s="175"/>
      <c r="AV106" s="175"/>
      <c r="AW106" s="172"/>
      <c r="AX106" s="40"/>
      <c r="AY106" s="40"/>
      <c r="AZ106" s="53"/>
      <c r="BA106" s="169"/>
      <c r="BB106" s="77"/>
      <c r="BC106" s="77"/>
      <c r="BD106" s="170"/>
      <c r="BE106" s="175"/>
      <c r="BF106" s="175"/>
      <c r="BG106" s="172"/>
      <c r="BH106" s="40"/>
      <c r="BI106" s="40"/>
      <c r="BJ106" s="53"/>
      <c r="BK106" s="169"/>
      <c r="BL106" s="77"/>
      <c r="BM106" s="77"/>
      <c r="BN106" s="170"/>
      <c r="BO106" s="175"/>
      <c r="BP106" s="175"/>
      <c r="BQ106" s="172"/>
      <c r="BR106" s="40"/>
      <c r="BS106" s="40"/>
      <c r="BT106" s="53"/>
      <c r="BU106" s="169"/>
      <c r="BV106" s="77"/>
      <c r="BW106" s="77"/>
      <c r="BX106" s="170"/>
      <c r="BY106" s="175"/>
      <c r="BZ106" s="175"/>
      <c r="CA106" s="172"/>
      <c r="CB106" s="40"/>
      <c r="CC106" s="40"/>
      <c r="CD106" s="53"/>
      <c r="CE106" s="169"/>
      <c r="CF106" s="77"/>
      <c r="CG106" s="77"/>
      <c r="CH106" s="170"/>
      <c r="CI106" s="175"/>
      <c r="CJ106" s="175"/>
      <c r="CK106" s="172"/>
      <c r="CL106" s="40"/>
      <c r="CM106" s="40"/>
      <c r="CN106" s="149"/>
      <c r="CO106" s="173"/>
      <c r="CP106" s="174"/>
      <c r="CQ106" s="174"/>
      <c r="CR106" s="173"/>
      <c r="CS106" s="176"/>
      <c r="CT106" s="176"/>
      <c r="CU106" s="136"/>
      <c r="CV106" s="137"/>
      <c r="CW106" s="137"/>
    </row>
    <row r="107" ht="15.75" customHeight="1">
      <c r="A107" s="50"/>
      <c r="B107" s="101">
        <v>79.0</v>
      </c>
      <c r="C107" s="166" t="s">
        <v>134</v>
      </c>
      <c r="D107" s="167"/>
      <c r="E107" s="167"/>
      <c r="F107" s="77"/>
      <c r="G107" s="77"/>
      <c r="H107" s="168"/>
      <c r="I107" s="33"/>
      <c r="J107" s="33"/>
      <c r="K107" s="160"/>
      <c r="L107" s="53"/>
      <c r="M107" s="169"/>
      <c r="N107" s="77"/>
      <c r="O107" s="77"/>
      <c r="P107" s="170"/>
      <c r="Q107" s="175"/>
      <c r="R107" s="175"/>
      <c r="S107" s="172"/>
      <c r="T107" s="40"/>
      <c r="U107" s="40"/>
      <c r="V107" s="53"/>
      <c r="W107" s="169"/>
      <c r="X107" s="77"/>
      <c r="Y107" s="77"/>
      <c r="Z107" s="170"/>
      <c r="AA107" s="175"/>
      <c r="AB107" s="175"/>
      <c r="AC107" s="172"/>
      <c r="AD107" s="40"/>
      <c r="AE107" s="40"/>
      <c r="AF107" s="53"/>
      <c r="AG107" s="169"/>
      <c r="AH107" s="77"/>
      <c r="AI107" s="77"/>
      <c r="AJ107" s="170"/>
      <c r="AK107" s="175"/>
      <c r="AL107" s="175"/>
      <c r="AM107" s="172"/>
      <c r="AN107" s="40"/>
      <c r="AO107" s="40"/>
      <c r="AP107" s="53"/>
      <c r="AQ107" s="169"/>
      <c r="AR107" s="77"/>
      <c r="AS107" s="77"/>
      <c r="AT107" s="170"/>
      <c r="AU107" s="175"/>
      <c r="AV107" s="175"/>
      <c r="AW107" s="172"/>
      <c r="AX107" s="40"/>
      <c r="AY107" s="40"/>
      <c r="AZ107" s="53"/>
      <c r="BA107" s="169"/>
      <c r="BB107" s="77"/>
      <c r="BC107" s="77"/>
      <c r="BD107" s="170"/>
      <c r="BE107" s="175"/>
      <c r="BF107" s="175"/>
      <c r="BG107" s="172"/>
      <c r="BH107" s="40"/>
      <c r="BI107" s="40"/>
      <c r="BJ107" s="53"/>
      <c r="BK107" s="169"/>
      <c r="BL107" s="77"/>
      <c r="BM107" s="77"/>
      <c r="BN107" s="170"/>
      <c r="BO107" s="175"/>
      <c r="BP107" s="175"/>
      <c r="BQ107" s="172"/>
      <c r="BR107" s="40"/>
      <c r="BS107" s="40"/>
      <c r="BT107" s="53"/>
      <c r="BU107" s="169"/>
      <c r="BV107" s="77"/>
      <c r="BW107" s="77"/>
      <c r="BX107" s="170"/>
      <c r="BY107" s="175"/>
      <c r="BZ107" s="175"/>
      <c r="CA107" s="172"/>
      <c r="CB107" s="40"/>
      <c r="CC107" s="40"/>
      <c r="CD107" s="53"/>
      <c r="CE107" s="169"/>
      <c r="CF107" s="77"/>
      <c r="CG107" s="77"/>
      <c r="CH107" s="170"/>
      <c r="CI107" s="175"/>
      <c r="CJ107" s="175"/>
      <c r="CK107" s="172"/>
      <c r="CL107" s="40"/>
      <c r="CM107" s="40"/>
      <c r="CN107" s="149"/>
      <c r="CO107" s="173"/>
      <c r="CP107" s="174"/>
      <c r="CQ107" s="174"/>
      <c r="CR107" s="173"/>
      <c r="CS107" s="176"/>
      <c r="CT107" s="176"/>
      <c r="CU107" s="136"/>
      <c r="CV107" s="137"/>
      <c r="CW107" s="137"/>
    </row>
    <row r="108" ht="15.75" customHeight="1">
      <c r="A108" s="50"/>
      <c r="B108" s="101">
        <v>80.0</v>
      </c>
      <c r="C108" s="166" t="s">
        <v>134</v>
      </c>
      <c r="D108" s="167"/>
      <c r="E108" s="167"/>
      <c r="F108" s="77"/>
      <c r="G108" s="77"/>
      <c r="H108" s="168"/>
      <c r="I108" s="33"/>
      <c r="J108" s="33"/>
      <c r="K108" s="160"/>
      <c r="L108" s="53"/>
      <c r="M108" s="169"/>
      <c r="N108" s="77"/>
      <c r="O108" s="77"/>
      <c r="P108" s="170"/>
      <c r="Q108" s="175"/>
      <c r="R108" s="175"/>
      <c r="S108" s="172"/>
      <c r="T108" s="40"/>
      <c r="U108" s="40"/>
      <c r="V108" s="53"/>
      <c r="W108" s="169"/>
      <c r="X108" s="77"/>
      <c r="Y108" s="77"/>
      <c r="Z108" s="170"/>
      <c r="AA108" s="175"/>
      <c r="AB108" s="175"/>
      <c r="AC108" s="172"/>
      <c r="AD108" s="40"/>
      <c r="AE108" s="40"/>
      <c r="AF108" s="53"/>
      <c r="AG108" s="169"/>
      <c r="AH108" s="77"/>
      <c r="AI108" s="77"/>
      <c r="AJ108" s="170"/>
      <c r="AK108" s="175"/>
      <c r="AL108" s="175"/>
      <c r="AM108" s="172"/>
      <c r="AN108" s="40"/>
      <c r="AO108" s="40"/>
      <c r="AP108" s="53"/>
      <c r="AQ108" s="169"/>
      <c r="AR108" s="77"/>
      <c r="AS108" s="77"/>
      <c r="AT108" s="170"/>
      <c r="AU108" s="175"/>
      <c r="AV108" s="175"/>
      <c r="AW108" s="172"/>
      <c r="AX108" s="40"/>
      <c r="AY108" s="40"/>
      <c r="AZ108" s="53"/>
      <c r="BA108" s="169"/>
      <c r="BB108" s="77"/>
      <c r="BC108" s="77"/>
      <c r="BD108" s="170"/>
      <c r="BE108" s="175"/>
      <c r="BF108" s="175"/>
      <c r="BG108" s="172"/>
      <c r="BH108" s="40"/>
      <c r="BI108" s="40"/>
      <c r="BJ108" s="53"/>
      <c r="BK108" s="169"/>
      <c r="BL108" s="77"/>
      <c r="BM108" s="77"/>
      <c r="BN108" s="170"/>
      <c r="BO108" s="175"/>
      <c r="BP108" s="175"/>
      <c r="BQ108" s="172"/>
      <c r="BR108" s="40"/>
      <c r="BS108" s="40"/>
      <c r="BT108" s="53"/>
      <c r="BU108" s="169"/>
      <c r="BV108" s="77"/>
      <c r="BW108" s="77"/>
      <c r="BX108" s="170"/>
      <c r="BY108" s="175"/>
      <c r="BZ108" s="175"/>
      <c r="CA108" s="172"/>
      <c r="CB108" s="40"/>
      <c r="CC108" s="40"/>
      <c r="CD108" s="53"/>
      <c r="CE108" s="169"/>
      <c r="CF108" s="77"/>
      <c r="CG108" s="77"/>
      <c r="CH108" s="170"/>
      <c r="CI108" s="175"/>
      <c r="CJ108" s="175"/>
      <c r="CK108" s="172"/>
      <c r="CL108" s="40"/>
      <c r="CM108" s="40"/>
      <c r="CN108" s="149"/>
      <c r="CO108" s="173"/>
      <c r="CP108" s="174"/>
      <c r="CQ108" s="174"/>
      <c r="CR108" s="173"/>
      <c r="CS108" s="176"/>
      <c r="CT108" s="176"/>
      <c r="CU108" s="136"/>
      <c r="CV108" s="137"/>
      <c r="CW108" s="137"/>
    </row>
    <row r="109" ht="15.75" customHeight="1">
      <c r="A109" s="50"/>
      <c r="B109" s="101">
        <v>81.0</v>
      </c>
      <c r="C109" s="166" t="s">
        <v>134</v>
      </c>
      <c r="D109" s="167"/>
      <c r="E109" s="167"/>
      <c r="F109" s="77"/>
      <c r="G109" s="77"/>
      <c r="H109" s="168"/>
      <c r="I109" s="33"/>
      <c r="J109" s="33"/>
      <c r="K109" s="160"/>
      <c r="L109" s="53"/>
      <c r="M109" s="169"/>
      <c r="N109" s="77"/>
      <c r="O109" s="77"/>
      <c r="P109" s="170"/>
      <c r="Q109" s="175"/>
      <c r="R109" s="175"/>
      <c r="S109" s="172"/>
      <c r="T109" s="40"/>
      <c r="U109" s="40"/>
      <c r="V109" s="53"/>
      <c r="W109" s="169"/>
      <c r="X109" s="77"/>
      <c r="Y109" s="77"/>
      <c r="Z109" s="170"/>
      <c r="AA109" s="175"/>
      <c r="AB109" s="175"/>
      <c r="AC109" s="172"/>
      <c r="AD109" s="40"/>
      <c r="AE109" s="40"/>
      <c r="AF109" s="53"/>
      <c r="AG109" s="169"/>
      <c r="AH109" s="77"/>
      <c r="AI109" s="77"/>
      <c r="AJ109" s="170"/>
      <c r="AK109" s="175"/>
      <c r="AL109" s="175"/>
      <c r="AM109" s="172"/>
      <c r="AN109" s="40"/>
      <c r="AO109" s="40"/>
      <c r="AP109" s="53"/>
      <c r="AQ109" s="169"/>
      <c r="AR109" s="77"/>
      <c r="AS109" s="77"/>
      <c r="AT109" s="170"/>
      <c r="AU109" s="175"/>
      <c r="AV109" s="175"/>
      <c r="AW109" s="172"/>
      <c r="AX109" s="40"/>
      <c r="AY109" s="40"/>
      <c r="AZ109" s="53"/>
      <c r="BA109" s="169"/>
      <c r="BB109" s="77"/>
      <c r="BC109" s="77"/>
      <c r="BD109" s="170"/>
      <c r="BE109" s="175"/>
      <c r="BF109" s="175"/>
      <c r="BG109" s="172"/>
      <c r="BH109" s="40"/>
      <c r="BI109" s="40"/>
      <c r="BJ109" s="53"/>
      <c r="BK109" s="169"/>
      <c r="BL109" s="77"/>
      <c r="BM109" s="77"/>
      <c r="BN109" s="170"/>
      <c r="BO109" s="175"/>
      <c r="BP109" s="175"/>
      <c r="BQ109" s="172"/>
      <c r="BR109" s="40"/>
      <c r="BS109" s="40"/>
      <c r="BT109" s="53"/>
      <c r="BU109" s="169"/>
      <c r="BV109" s="77"/>
      <c r="BW109" s="77"/>
      <c r="BX109" s="170"/>
      <c r="BY109" s="175"/>
      <c r="BZ109" s="175"/>
      <c r="CA109" s="172"/>
      <c r="CB109" s="40"/>
      <c r="CC109" s="40"/>
      <c r="CD109" s="53"/>
      <c r="CE109" s="169"/>
      <c r="CF109" s="77"/>
      <c r="CG109" s="77"/>
      <c r="CH109" s="170"/>
      <c r="CI109" s="175"/>
      <c r="CJ109" s="175"/>
      <c r="CK109" s="172"/>
      <c r="CL109" s="40"/>
      <c r="CM109" s="40"/>
      <c r="CN109" s="149"/>
      <c r="CO109" s="173"/>
      <c r="CP109" s="174"/>
      <c r="CQ109" s="174"/>
      <c r="CR109" s="173"/>
      <c r="CS109" s="176"/>
      <c r="CT109" s="176"/>
      <c r="CU109" s="136"/>
      <c r="CV109" s="137"/>
      <c r="CW109" s="137"/>
    </row>
    <row r="110" ht="15.75" customHeight="1">
      <c r="A110" s="50"/>
      <c r="B110" s="101">
        <v>82.0</v>
      </c>
      <c r="C110" s="166" t="s">
        <v>134</v>
      </c>
      <c r="D110" s="167"/>
      <c r="E110" s="167"/>
      <c r="F110" s="77"/>
      <c r="G110" s="77"/>
      <c r="H110" s="168"/>
      <c r="I110" s="33"/>
      <c r="J110" s="33"/>
      <c r="K110" s="160"/>
      <c r="L110" s="53"/>
      <c r="M110" s="169"/>
      <c r="N110" s="77"/>
      <c r="O110" s="77"/>
      <c r="P110" s="170"/>
      <c r="Q110" s="175"/>
      <c r="R110" s="175"/>
      <c r="S110" s="172"/>
      <c r="T110" s="40"/>
      <c r="U110" s="40"/>
      <c r="V110" s="53"/>
      <c r="W110" s="169"/>
      <c r="X110" s="77"/>
      <c r="Y110" s="77"/>
      <c r="Z110" s="170"/>
      <c r="AA110" s="175"/>
      <c r="AB110" s="175"/>
      <c r="AC110" s="172"/>
      <c r="AD110" s="40"/>
      <c r="AE110" s="40"/>
      <c r="AF110" s="53"/>
      <c r="AG110" s="169"/>
      <c r="AH110" s="77"/>
      <c r="AI110" s="77"/>
      <c r="AJ110" s="170"/>
      <c r="AK110" s="175"/>
      <c r="AL110" s="175"/>
      <c r="AM110" s="172"/>
      <c r="AN110" s="40"/>
      <c r="AO110" s="40"/>
      <c r="AP110" s="53"/>
      <c r="AQ110" s="169"/>
      <c r="AR110" s="77"/>
      <c r="AS110" s="77"/>
      <c r="AT110" s="170"/>
      <c r="AU110" s="175"/>
      <c r="AV110" s="175"/>
      <c r="AW110" s="172"/>
      <c r="AX110" s="40"/>
      <c r="AY110" s="40"/>
      <c r="AZ110" s="53"/>
      <c r="BA110" s="169"/>
      <c r="BB110" s="77"/>
      <c r="BC110" s="77"/>
      <c r="BD110" s="170"/>
      <c r="BE110" s="175"/>
      <c r="BF110" s="175"/>
      <c r="BG110" s="172"/>
      <c r="BH110" s="40"/>
      <c r="BI110" s="40"/>
      <c r="BJ110" s="53"/>
      <c r="BK110" s="169"/>
      <c r="BL110" s="77"/>
      <c r="BM110" s="77"/>
      <c r="BN110" s="170"/>
      <c r="BO110" s="175"/>
      <c r="BP110" s="175"/>
      <c r="BQ110" s="172"/>
      <c r="BR110" s="40"/>
      <c r="BS110" s="40"/>
      <c r="BT110" s="53"/>
      <c r="BU110" s="169"/>
      <c r="BV110" s="77"/>
      <c r="BW110" s="77"/>
      <c r="BX110" s="170"/>
      <c r="BY110" s="175"/>
      <c r="BZ110" s="175"/>
      <c r="CA110" s="172"/>
      <c r="CB110" s="40"/>
      <c r="CC110" s="40"/>
      <c r="CD110" s="53"/>
      <c r="CE110" s="169"/>
      <c r="CF110" s="77"/>
      <c r="CG110" s="77"/>
      <c r="CH110" s="170"/>
      <c r="CI110" s="175"/>
      <c r="CJ110" s="175"/>
      <c r="CK110" s="172"/>
      <c r="CL110" s="40"/>
      <c r="CM110" s="40"/>
      <c r="CN110" s="149"/>
      <c r="CO110" s="173"/>
      <c r="CP110" s="174"/>
      <c r="CQ110" s="174"/>
      <c r="CR110" s="173"/>
      <c r="CS110" s="176"/>
      <c r="CT110" s="176"/>
      <c r="CU110" s="136"/>
      <c r="CV110" s="137"/>
      <c r="CW110" s="137"/>
    </row>
    <row r="111" ht="15.75" customHeight="1">
      <c r="A111" s="50"/>
      <c r="B111" s="101">
        <v>83.0</v>
      </c>
      <c r="C111" s="166" t="s">
        <v>134</v>
      </c>
      <c r="D111" s="167"/>
      <c r="E111" s="167"/>
      <c r="F111" s="77"/>
      <c r="G111" s="77"/>
      <c r="H111" s="168"/>
      <c r="I111" s="33"/>
      <c r="J111" s="33"/>
      <c r="K111" s="160"/>
      <c r="L111" s="53"/>
      <c r="M111" s="169"/>
      <c r="N111" s="77"/>
      <c r="O111" s="77"/>
      <c r="P111" s="170"/>
      <c r="Q111" s="175"/>
      <c r="R111" s="175"/>
      <c r="S111" s="172"/>
      <c r="T111" s="40"/>
      <c r="U111" s="40"/>
      <c r="V111" s="53"/>
      <c r="W111" s="169"/>
      <c r="X111" s="77"/>
      <c r="Y111" s="77"/>
      <c r="Z111" s="170"/>
      <c r="AA111" s="175"/>
      <c r="AB111" s="175"/>
      <c r="AC111" s="172"/>
      <c r="AD111" s="40"/>
      <c r="AE111" s="40"/>
      <c r="AF111" s="53"/>
      <c r="AG111" s="169"/>
      <c r="AH111" s="77"/>
      <c r="AI111" s="77"/>
      <c r="AJ111" s="170"/>
      <c r="AK111" s="175"/>
      <c r="AL111" s="175"/>
      <c r="AM111" s="172"/>
      <c r="AN111" s="40"/>
      <c r="AO111" s="40"/>
      <c r="AP111" s="53"/>
      <c r="AQ111" s="169"/>
      <c r="AR111" s="77"/>
      <c r="AS111" s="77"/>
      <c r="AT111" s="170"/>
      <c r="AU111" s="175"/>
      <c r="AV111" s="175"/>
      <c r="AW111" s="172"/>
      <c r="AX111" s="40"/>
      <c r="AY111" s="40"/>
      <c r="AZ111" s="53"/>
      <c r="BA111" s="169"/>
      <c r="BB111" s="77"/>
      <c r="BC111" s="77"/>
      <c r="BD111" s="170"/>
      <c r="BE111" s="175"/>
      <c r="BF111" s="175"/>
      <c r="BG111" s="172"/>
      <c r="BH111" s="40"/>
      <c r="BI111" s="40"/>
      <c r="BJ111" s="53"/>
      <c r="BK111" s="169"/>
      <c r="BL111" s="77"/>
      <c r="BM111" s="77"/>
      <c r="BN111" s="170"/>
      <c r="BO111" s="175"/>
      <c r="BP111" s="175"/>
      <c r="BQ111" s="172"/>
      <c r="BR111" s="40"/>
      <c r="BS111" s="40"/>
      <c r="BT111" s="53"/>
      <c r="BU111" s="169"/>
      <c r="BV111" s="77"/>
      <c r="BW111" s="77"/>
      <c r="BX111" s="170"/>
      <c r="BY111" s="175"/>
      <c r="BZ111" s="175"/>
      <c r="CA111" s="172"/>
      <c r="CB111" s="40"/>
      <c r="CC111" s="40"/>
      <c r="CD111" s="53"/>
      <c r="CE111" s="169"/>
      <c r="CF111" s="77"/>
      <c r="CG111" s="77"/>
      <c r="CH111" s="170"/>
      <c r="CI111" s="175"/>
      <c r="CJ111" s="175"/>
      <c r="CK111" s="172"/>
      <c r="CL111" s="40"/>
      <c r="CM111" s="40"/>
      <c r="CN111" s="149"/>
      <c r="CO111" s="173"/>
      <c r="CP111" s="174"/>
      <c r="CQ111" s="174"/>
      <c r="CR111" s="173"/>
      <c r="CS111" s="176"/>
      <c r="CT111" s="176"/>
      <c r="CU111" s="136"/>
      <c r="CV111" s="137"/>
      <c r="CW111" s="137"/>
    </row>
    <row r="112" ht="15.75" customHeight="1">
      <c r="A112" s="50"/>
      <c r="B112" s="101">
        <v>84.0</v>
      </c>
      <c r="C112" s="166" t="s">
        <v>134</v>
      </c>
      <c r="D112" s="167"/>
      <c r="E112" s="167"/>
      <c r="F112" s="77"/>
      <c r="G112" s="77"/>
      <c r="H112" s="168"/>
      <c r="I112" s="33"/>
      <c r="J112" s="33"/>
      <c r="K112" s="160"/>
      <c r="L112" s="53"/>
      <c r="M112" s="169"/>
      <c r="N112" s="77"/>
      <c r="O112" s="77"/>
      <c r="P112" s="170"/>
      <c r="Q112" s="175"/>
      <c r="R112" s="175"/>
      <c r="S112" s="172"/>
      <c r="T112" s="40"/>
      <c r="U112" s="40"/>
      <c r="V112" s="53"/>
      <c r="W112" s="169"/>
      <c r="X112" s="77"/>
      <c r="Y112" s="77"/>
      <c r="Z112" s="170"/>
      <c r="AA112" s="175"/>
      <c r="AB112" s="175"/>
      <c r="AC112" s="172"/>
      <c r="AD112" s="40"/>
      <c r="AE112" s="40"/>
      <c r="AF112" s="53"/>
      <c r="AG112" s="169"/>
      <c r="AH112" s="77"/>
      <c r="AI112" s="77"/>
      <c r="AJ112" s="170"/>
      <c r="AK112" s="175"/>
      <c r="AL112" s="175"/>
      <c r="AM112" s="172"/>
      <c r="AN112" s="40"/>
      <c r="AO112" s="40"/>
      <c r="AP112" s="53"/>
      <c r="AQ112" s="169"/>
      <c r="AR112" s="77"/>
      <c r="AS112" s="77"/>
      <c r="AT112" s="170"/>
      <c r="AU112" s="175"/>
      <c r="AV112" s="175"/>
      <c r="AW112" s="172"/>
      <c r="AX112" s="40"/>
      <c r="AY112" s="40"/>
      <c r="AZ112" s="53"/>
      <c r="BA112" s="169"/>
      <c r="BB112" s="77"/>
      <c r="BC112" s="77"/>
      <c r="BD112" s="170"/>
      <c r="BE112" s="175"/>
      <c r="BF112" s="175"/>
      <c r="BG112" s="172"/>
      <c r="BH112" s="40"/>
      <c r="BI112" s="40"/>
      <c r="BJ112" s="53"/>
      <c r="BK112" s="169"/>
      <c r="BL112" s="77"/>
      <c r="BM112" s="77"/>
      <c r="BN112" s="170"/>
      <c r="BO112" s="175"/>
      <c r="BP112" s="175"/>
      <c r="BQ112" s="172"/>
      <c r="BR112" s="40"/>
      <c r="BS112" s="40"/>
      <c r="BT112" s="53"/>
      <c r="BU112" s="169"/>
      <c r="BV112" s="77"/>
      <c r="BW112" s="77"/>
      <c r="BX112" s="170"/>
      <c r="BY112" s="175"/>
      <c r="BZ112" s="175"/>
      <c r="CA112" s="172"/>
      <c r="CB112" s="40"/>
      <c r="CC112" s="40"/>
      <c r="CD112" s="53"/>
      <c r="CE112" s="169"/>
      <c r="CF112" s="77"/>
      <c r="CG112" s="77"/>
      <c r="CH112" s="170"/>
      <c r="CI112" s="175"/>
      <c r="CJ112" s="175"/>
      <c r="CK112" s="172"/>
      <c r="CL112" s="40"/>
      <c r="CM112" s="40"/>
      <c r="CN112" s="149"/>
      <c r="CO112" s="173"/>
      <c r="CP112" s="174"/>
      <c r="CQ112" s="174"/>
      <c r="CR112" s="173"/>
      <c r="CS112" s="176"/>
      <c r="CT112" s="176"/>
      <c r="CU112" s="136"/>
      <c r="CV112" s="137"/>
      <c r="CW112" s="137"/>
    </row>
    <row r="113" ht="15.75" customHeight="1">
      <c r="A113" s="50"/>
      <c r="B113" s="101">
        <v>85.0</v>
      </c>
      <c r="C113" s="166" t="s">
        <v>134</v>
      </c>
      <c r="D113" s="167"/>
      <c r="E113" s="167"/>
      <c r="F113" s="77"/>
      <c r="G113" s="77"/>
      <c r="H113" s="168"/>
      <c r="I113" s="33"/>
      <c r="J113" s="33"/>
      <c r="K113" s="160"/>
      <c r="L113" s="53"/>
      <c r="M113" s="169"/>
      <c r="N113" s="77"/>
      <c r="O113" s="77"/>
      <c r="P113" s="170"/>
      <c r="Q113" s="175"/>
      <c r="R113" s="175"/>
      <c r="S113" s="172"/>
      <c r="T113" s="40"/>
      <c r="U113" s="40"/>
      <c r="V113" s="53"/>
      <c r="W113" s="169"/>
      <c r="X113" s="77"/>
      <c r="Y113" s="77"/>
      <c r="Z113" s="170"/>
      <c r="AA113" s="175"/>
      <c r="AB113" s="175"/>
      <c r="AC113" s="172"/>
      <c r="AD113" s="40"/>
      <c r="AE113" s="40"/>
      <c r="AF113" s="53"/>
      <c r="AG113" s="169"/>
      <c r="AH113" s="77"/>
      <c r="AI113" s="77"/>
      <c r="AJ113" s="170"/>
      <c r="AK113" s="175"/>
      <c r="AL113" s="175"/>
      <c r="AM113" s="172"/>
      <c r="AN113" s="40"/>
      <c r="AO113" s="40"/>
      <c r="AP113" s="53"/>
      <c r="AQ113" s="169"/>
      <c r="AR113" s="77"/>
      <c r="AS113" s="77"/>
      <c r="AT113" s="170"/>
      <c r="AU113" s="175"/>
      <c r="AV113" s="175"/>
      <c r="AW113" s="172"/>
      <c r="AX113" s="40"/>
      <c r="AY113" s="40"/>
      <c r="AZ113" s="53"/>
      <c r="BA113" s="169"/>
      <c r="BB113" s="77"/>
      <c r="BC113" s="77"/>
      <c r="BD113" s="170"/>
      <c r="BE113" s="175"/>
      <c r="BF113" s="175"/>
      <c r="BG113" s="172"/>
      <c r="BH113" s="40"/>
      <c r="BI113" s="40"/>
      <c r="BJ113" s="53"/>
      <c r="BK113" s="169"/>
      <c r="BL113" s="77"/>
      <c r="BM113" s="77"/>
      <c r="BN113" s="170"/>
      <c r="BO113" s="175"/>
      <c r="BP113" s="175"/>
      <c r="BQ113" s="172"/>
      <c r="BR113" s="40"/>
      <c r="BS113" s="40"/>
      <c r="BT113" s="53"/>
      <c r="BU113" s="169"/>
      <c r="BV113" s="77"/>
      <c r="BW113" s="77"/>
      <c r="BX113" s="170"/>
      <c r="BY113" s="175"/>
      <c r="BZ113" s="175"/>
      <c r="CA113" s="172"/>
      <c r="CB113" s="40"/>
      <c r="CC113" s="40"/>
      <c r="CD113" s="53"/>
      <c r="CE113" s="169"/>
      <c r="CF113" s="77"/>
      <c r="CG113" s="77"/>
      <c r="CH113" s="170"/>
      <c r="CI113" s="175"/>
      <c r="CJ113" s="175"/>
      <c r="CK113" s="172"/>
      <c r="CL113" s="40"/>
      <c r="CM113" s="40"/>
      <c r="CN113" s="149"/>
      <c r="CO113" s="173"/>
      <c r="CP113" s="174"/>
      <c r="CQ113" s="174"/>
      <c r="CR113" s="173"/>
      <c r="CS113" s="176"/>
      <c r="CT113" s="176"/>
      <c r="CU113" s="136"/>
      <c r="CV113" s="137"/>
      <c r="CW113" s="137"/>
    </row>
    <row r="114" ht="15.75" customHeight="1">
      <c r="A114" s="50"/>
      <c r="B114" s="101">
        <v>86.0</v>
      </c>
      <c r="C114" s="166" t="s">
        <v>134</v>
      </c>
      <c r="D114" s="167"/>
      <c r="E114" s="167"/>
      <c r="F114" s="77"/>
      <c r="G114" s="77"/>
      <c r="H114" s="168"/>
      <c r="I114" s="33"/>
      <c r="J114" s="33"/>
      <c r="K114" s="160"/>
      <c r="L114" s="53"/>
      <c r="M114" s="169"/>
      <c r="N114" s="77"/>
      <c r="O114" s="77"/>
      <c r="P114" s="170"/>
      <c r="Q114" s="175"/>
      <c r="R114" s="175"/>
      <c r="S114" s="172"/>
      <c r="T114" s="40"/>
      <c r="U114" s="40"/>
      <c r="V114" s="53"/>
      <c r="W114" s="169"/>
      <c r="X114" s="77"/>
      <c r="Y114" s="77"/>
      <c r="Z114" s="170"/>
      <c r="AA114" s="175"/>
      <c r="AB114" s="175"/>
      <c r="AC114" s="172"/>
      <c r="AD114" s="40"/>
      <c r="AE114" s="40"/>
      <c r="AF114" s="53"/>
      <c r="AG114" s="169"/>
      <c r="AH114" s="77"/>
      <c r="AI114" s="77"/>
      <c r="AJ114" s="170"/>
      <c r="AK114" s="175"/>
      <c r="AL114" s="175"/>
      <c r="AM114" s="172"/>
      <c r="AN114" s="40"/>
      <c r="AO114" s="40"/>
      <c r="AP114" s="53"/>
      <c r="AQ114" s="169"/>
      <c r="AR114" s="77"/>
      <c r="AS114" s="77"/>
      <c r="AT114" s="170"/>
      <c r="AU114" s="175"/>
      <c r="AV114" s="175"/>
      <c r="AW114" s="172"/>
      <c r="AX114" s="40"/>
      <c r="AY114" s="40"/>
      <c r="AZ114" s="53"/>
      <c r="BA114" s="169"/>
      <c r="BB114" s="77"/>
      <c r="BC114" s="77"/>
      <c r="BD114" s="170"/>
      <c r="BE114" s="175"/>
      <c r="BF114" s="175"/>
      <c r="BG114" s="172"/>
      <c r="BH114" s="40"/>
      <c r="BI114" s="40"/>
      <c r="BJ114" s="53"/>
      <c r="BK114" s="169"/>
      <c r="BL114" s="77"/>
      <c r="BM114" s="77"/>
      <c r="BN114" s="170"/>
      <c r="BO114" s="175"/>
      <c r="BP114" s="175"/>
      <c r="BQ114" s="172"/>
      <c r="BR114" s="40"/>
      <c r="BS114" s="40"/>
      <c r="BT114" s="53"/>
      <c r="BU114" s="169"/>
      <c r="BV114" s="77"/>
      <c r="BW114" s="77"/>
      <c r="BX114" s="170"/>
      <c r="BY114" s="175"/>
      <c r="BZ114" s="175"/>
      <c r="CA114" s="172"/>
      <c r="CB114" s="40"/>
      <c r="CC114" s="40"/>
      <c r="CD114" s="53"/>
      <c r="CE114" s="169"/>
      <c r="CF114" s="77"/>
      <c r="CG114" s="77"/>
      <c r="CH114" s="170"/>
      <c r="CI114" s="175"/>
      <c r="CJ114" s="175"/>
      <c r="CK114" s="172"/>
      <c r="CL114" s="40"/>
      <c r="CM114" s="40"/>
      <c r="CN114" s="149"/>
      <c r="CO114" s="173"/>
      <c r="CP114" s="174"/>
      <c r="CQ114" s="174"/>
      <c r="CR114" s="173"/>
      <c r="CS114" s="176"/>
      <c r="CT114" s="176"/>
      <c r="CU114" s="136"/>
      <c r="CV114" s="137"/>
      <c r="CW114" s="137"/>
    </row>
    <row r="115" ht="15.75" customHeight="1">
      <c r="A115" s="50"/>
      <c r="B115" s="101">
        <v>87.0</v>
      </c>
      <c r="C115" s="166" t="s">
        <v>134</v>
      </c>
      <c r="D115" s="167"/>
      <c r="E115" s="167"/>
      <c r="F115" s="77"/>
      <c r="G115" s="77"/>
      <c r="H115" s="168"/>
      <c r="I115" s="33"/>
      <c r="J115" s="33"/>
      <c r="K115" s="160"/>
      <c r="L115" s="53"/>
      <c r="M115" s="169"/>
      <c r="N115" s="77"/>
      <c r="O115" s="77"/>
      <c r="P115" s="170"/>
      <c r="Q115" s="175"/>
      <c r="R115" s="175"/>
      <c r="S115" s="172"/>
      <c r="T115" s="40"/>
      <c r="U115" s="40"/>
      <c r="V115" s="53"/>
      <c r="W115" s="169"/>
      <c r="X115" s="77"/>
      <c r="Y115" s="77"/>
      <c r="Z115" s="170"/>
      <c r="AA115" s="175"/>
      <c r="AB115" s="175"/>
      <c r="AC115" s="172"/>
      <c r="AD115" s="40"/>
      <c r="AE115" s="40"/>
      <c r="AF115" s="53"/>
      <c r="AG115" s="169"/>
      <c r="AH115" s="77"/>
      <c r="AI115" s="77"/>
      <c r="AJ115" s="170"/>
      <c r="AK115" s="175"/>
      <c r="AL115" s="175"/>
      <c r="AM115" s="172"/>
      <c r="AN115" s="40"/>
      <c r="AO115" s="40"/>
      <c r="AP115" s="53"/>
      <c r="AQ115" s="169"/>
      <c r="AR115" s="77"/>
      <c r="AS115" s="77"/>
      <c r="AT115" s="170"/>
      <c r="AU115" s="175"/>
      <c r="AV115" s="175"/>
      <c r="AW115" s="172"/>
      <c r="AX115" s="40"/>
      <c r="AY115" s="40"/>
      <c r="AZ115" s="53"/>
      <c r="BA115" s="169"/>
      <c r="BB115" s="77"/>
      <c r="BC115" s="77"/>
      <c r="BD115" s="170"/>
      <c r="BE115" s="175"/>
      <c r="BF115" s="175"/>
      <c r="BG115" s="172"/>
      <c r="BH115" s="40"/>
      <c r="BI115" s="40"/>
      <c r="BJ115" s="53"/>
      <c r="BK115" s="169"/>
      <c r="BL115" s="77"/>
      <c r="BM115" s="77"/>
      <c r="BN115" s="170"/>
      <c r="BO115" s="175"/>
      <c r="BP115" s="175"/>
      <c r="BQ115" s="172"/>
      <c r="BR115" s="40"/>
      <c r="BS115" s="40"/>
      <c r="BT115" s="53"/>
      <c r="BU115" s="169"/>
      <c r="BV115" s="77"/>
      <c r="BW115" s="77"/>
      <c r="BX115" s="170"/>
      <c r="BY115" s="175"/>
      <c r="BZ115" s="175"/>
      <c r="CA115" s="172"/>
      <c r="CB115" s="40"/>
      <c r="CC115" s="40"/>
      <c r="CD115" s="53"/>
      <c r="CE115" s="169"/>
      <c r="CF115" s="77"/>
      <c r="CG115" s="77"/>
      <c r="CH115" s="170"/>
      <c r="CI115" s="175"/>
      <c r="CJ115" s="175"/>
      <c r="CK115" s="172"/>
      <c r="CL115" s="40"/>
      <c r="CM115" s="40"/>
      <c r="CN115" s="149"/>
      <c r="CO115" s="173"/>
      <c r="CP115" s="174"/>
      <c r="CQ115" s="174"/>
      <c r="CR115" s="173"/>
      <c r="CS115" s="176"/>
      <c r="CT115" s="176"/>
      <c r="CU115" s="136"/>
      <c r="CV115" s="137"/>
      <c r="CW115" s="137"/>
    </row>
    <row r="116" ht="15.75" customHeight="1">
      <c r="A116" s="50"/>
      <c r="B116" s="101">
        <v>88.0</v>
      </c>
      <c r="C116" s="166" t="s">
        <v>134</v>
      </c>
      <c r="D116" s="167"/>
      <c r="E116" s="167"/>
      <c r="F116" s="77"/>
      <c r="G116" s="77"/>
      <c r="H116" s="168"/>
      <c r="I116" s="33"/>
      <c r="J116" s="33"/>
      <c r="K116" s="160"/>
      <c r="L116" s="53"/>
      <c r="M116" s="169"/>
      <c r="N116" s="77"/>
      <c r="O116" s="77"/>
      <c r="P116" s="170"/>
      <c r="Q116" s="175"/>
      <c r="R116" s="175"/>
      <c r="S116" s="172"/>
      <c r="T116" s="40"/>
      <c r="U116" s="40"/>
      <c r="V116" s="53"/>
      <c r="W116" s="169"/>
      <c r="X116" s="77"/>
      <c r="Y116" s="77"/>
      <c r="Z116" s="170"/>
      <c r="AA116" s="175"/>
      <c r="AB116" s="175"/>
      <c r="AC116" s="172"/>
      <c r="AD116" s="40"/>
      <c r="AE116" s="40"/>
      <c r="AF116" s="53"/>
      <c r="AG116" s="169"/>
      <c r="AH116" s="77"/>
      <c r="AI116" s="77"/>
      <c r="AJ116" s="170"/>
      <c r="AK116" s="175"/>
      <c r="AL116" s="175"/>
      <c r="AM116" s="172"/>
      <c r="AN116" s="40"/>
      <c r="AO116" s="40"/>
      <c r="AP116" s="53"/>
      <c r="AQ116" s="169"/>
      <c r="AR116" s="77"/>
      <c r="AS116" s="77"/>
      <c r="AT116" s="170"/>
      <c r="AU116" s="175"/>
      <c r="AV116" s="175"/>
      <c r="AW116" s="172"/>
      <c r="AX116" s="40"/>
      <c r="AY116" s="40"/>
      <c r="AZ116" s="53"/>
      <c r="BA116" s="169"/>
      <c r="BB116" s="77"/>
      <c r="BC116" s="77"/>
      <c r="BD116" s="170"/>
      <c r="BE116" s="175"/>
      <c r="BF116" s="175"/>
      <c r="BG116" s="172"/>
      <c r="BH116" s="40"/>
      <c r="BI116" s="40"/>
      <c r="BJ116" s="53"/>
      <c r="BK116" s="169"/>
      <c r="BL116" s="77"/>
      <c r="BM116" s="77"/>
      <c r="BN116" s="170"/>
      <c r="BO116" s="175"/>
      <c r="BP116" s="175"/>
      <c r="BQ116" s="172"/>
      <c r="BR116" s="40"/>
      <c r="BS116" s="40"/>
      <c r="BT116" s="53"/>
      <c r="BU116" s="169"/>
      <c r="BV116" s="77"/>
      <c r="BW116" s="77"/>
      <c r="BX116" s="170"/>
      <c r="BY116" s="175"/>
      <c r="BZ116" s="175"/>
      <c r="CA116" s="172"/>
      <c r="CB116" s="40"/>
      <c r="CC116" s="40"/>
      <c r="CD116" s="53"/>
      <c r="CE116" s="169"/>
      <c r="CF116" s="77"/>
      <c r="CG116" s="77"/>
      <c r="CH116" s="170"/>
      <c r="CI116" s="175"/>
      <c r="CJ116" s="175"/>
      <c r="CK116" s="172"/>
      <c r="CL116" s="40"/>
      <c r="CM116" s="40"/>
      <c r="CN116" s="149"/>
      <c r="CO116" s="173"/>
      <c r="CP116" s="174"/>
      <c r="CQ116" s="174"/>
      <c r="CR116" s="173"/>
      <c r="CS116" s="176"/>
      <c r="CT116" s="176"/>
      <c r="CU116" s="136"/>
      <c r="CV116" s="137"/>
      <c r="CW116" s="137"/>
    </row>
    <row r="117" ht="15.75" customHeight="1">
      <c r="A117" s="50"/>
      <c r="B117" s="177">
        <v>89.0</v>
      </c>
      <c r="C117" s="177" t="s">
        <v>135</v>
      </c>
      <c r="D117" s="178"/>
      <c r="E117" s="178" t="str">
        <f>E85</f>
        <v/>
      </c>
      <c r="F117" s="77"/>
      <c r="G117" s="77"/>
      <c r="H117" s="179" t="str">
        <f t="shared" ref="H117:H118" si="10">E86</f>
        <v/>
      </c>
      <c r="I117" s="177"/>
      <c r="J117" s="177"/>
      <c r="K117" s="160"/>
      <c r="L117" s="53" t="s">
        <v>77</v>
      </c>
      <c r="M117" s="180" t="str">
        <f>M85</f>
        <v>Mexico</v>
      </c>
      <c r="N117" s="77"/>
      <c r="O117" s="77"/>
      <c r="P117" s="181" t="str">
        <f t="shared" ref="P117:P118" si="11">M86</f>
        <v>Switzerland</v>
      </c>
      <c r="Q117" s="182"/>
      <c r="R117" s="182"/>
      <c r="S117" s="172"/>
      <c r="T117" s="40"/>
      <c r="U117" s="40"/>
      <c r="V117" s="53" t="s">
        <v>77</v>
      </c>
      <c r="W117" s="180"/>
      <c r="X117" s="77"/>
      <c r="Y117" s="77"/>
      <c r="Z117" s="181"/>
      <c r="AA117" s="182"/>
      <c r="AB117" s="182"/>
      <c r="AC117" s="172"/>
      <c r="AD117" s="40"/>
      <c r="AE117" s="40"/>
      <c r="AF117" s="53" t="s">
        <v>77</v>
      </c>
      <c r="AG117" s="180" t="str">
        <f>AG85</f>
        <v>Czech</v>
      </c>
      <c r="AH117" s="77"/>
      <c r="AI117" s="77"/>
      <c r="AJ117" s="181" t="str">
        <f t="shared" ref="AJ117:AJ118" si="12">AG86</f>
        <v>Switzerland</v>
      </c>
      <c r="AK117" s="182"/>
      <c r="AL117" s="182"/>
      <c r="AM117" s="172"/>
      <c r="AN117" s="40"/>
      <c r="AO117" s="40"/>
      <c r="AP117" s="53" t="s">
        <v>77</v>
      </c>
      <c r="AQ117" s="180" t="str">
        <f>AQ85</f>
        <v>Mexico</v>
      </c>
      <c r="AR117" s="77"/>
      <c r="AS117" s="77"/>
      <c r="AT117" s="181" t="str">
        <f t="shared" ref="AT117:AT118" si="13">AQ86</f>
        <v>Canada</v>
      </c>
      <c r="AU117" s="182"/>
      <c r="AV117" s="182"/>
      <c r="AW117" s="172"/>
      <c r="AX117" s="40"/>
      <c r="AY117" s="40"/>
      <c r="AZ117" s="53" t="s">
        <v>77</v>
      </c>
      <c r="BA117" s="180" t="str">
        <f>BA85</f>
        <v>Mexico</v>
      </c>
      <c r="BB117" s="77"/>
      <c r="BC117" s="77"/>
      <c r="BD117" s="181" t="str">
        <f t="shared" ref="BD117:BD118" si="14">BA86</f>
        <v>Switzerland</v>
      </c>
      <c r="BE117" s="182"/>
      <c r="BF117" s="182"/>
      <c r="BG117" s="172"/>
      <c r="BH117" s="40"/>
      <c r="BI117" s="40"/>
      <c r="BJ117" s="53" t="s">
        <v>77</v>
      </c>
      <c r="BK117" s="180" t="str">
        <f>BK85</f>
        <v>South Korea</v>
      </c>
      <c r="BL117" s="77"/>
      <c r="BM117" s="77"/>
      <c r="BN117" s="181" t="str">
        <f t="shared" ref="BN117:BN118" si="15">BK86</f>
        <v>Swotzerland</v>
      </c>
      <c r="BO117" s="182"/>
      <c r="BP117" s="182"/>
      <c r="BQ117" s="172"/>
      <c r="BR117" s="40"/>
      <c r="BS117" s="40"/>
      <c r="BT117" s="53" t="s">
        <v>77</v>
      </c>
      <c r="BU117" s="180" t="str">
        <f>BU85</f>
        <v>Mexico</v>
      </c>
      <c r="BV117" s="77"/>
      <c r="BW117" s="77"/>
      <c r="BX117" s="181" t="str">
        <f t="shared" ref="BX117:BX118" si="16">BU86</f>
        <v>Switzerland</v>
      </c>
      <c r="BY117" s="182"/>
      <c r="BZ117" s="182"/>
      <c r="CA117" s="172"/>
      <c r="CB117" s="40"/>
      <c r="CC117" s="40"/>
      <c r="CD117" s="53" t="s">
        <v>77</v>
      </c>
      <c r="CE117" s="180" t="str">
        <f>CE85</f>
        <v>South Korea</v>
      </c>
      <c r="CF117" s="77"/>
      <c r="CG117" s="77"/>
      <c r="CH117" s="181" t="str">
        <f t="shared" ref="CH117:CH118" si="17">CE86</f>
        <v>Switzerland</v>
      </c>
      <c r="CI117" s="182"/>
      <c r="CJ117" s="182"/>
      <c r="CK117" s="172"/>
      <c r="CL117" s="40"/>
      <c r="CM117" s="40"/>
      <c r="CN117" s="183" t="s">
        <v>77</v>
      </c>
      <c r="CO117" s="184" t="str">
        <f>CO85</f>
        <v/>
      </c>
      <c r="CP117" s="174"/>
      <c r="CQ117" s="174"/>
      <c r="CR117" s="184" t="str">
        <f t="shared" ref="CR117:CR118" si="18">CO86</f>
        <v/>
      </c>
      <c r="CS117" s="184"/>
      <c r="CT117" s="184"/>
      <c r="CU117" s="136"/>
      <c r="CV117" s="137"/>
      <c r="CW117" s="137"/>
    </row>
    <row r="118" ht="15.75" customHeight="1">
      <c r="A118" s="50"/>
      <c r="B118" s="33">
        <v>90.0</v>
      </c>
      <c r="C118" s="33" t="s">
        <v>135</v>
      </c>
      <c r="D118" s="185"/>
      <c r="E118" s="185" t="str">
        <f>C85</f>
        <v/>
      </c>
      <c r="F118" s="77"/>
      <c r="G118" s="77"/>
      <c r="H118" s="186" t="str">
        <f t="shared" si="10"/>
        <v/>
      </c>
      <c r="I118" s="33"/>
      <c r="J118" s="33"/>
      <c r="K118" s="160"/>
      <c r="L118" s="53" t="s">
        <v>57</v>
      </c>
      <c r="M118" s="187" t="str">
        <f>K85</f>
        <v/>
      </c>
      <c r="N118" s="77"/>
      <c r="O118" s="77"/>
      <c r="P118" s="188" t="str">
        <f t="shared" si="11"/>
        <v>Brazil</v>
      </c>
      <c r="Q118" s="175"/>
      <c r="R118" s="175"/>
      <c r="S118" s="189"/>
      <c r="T118" s="40"/>
      <c r="U118" s="40"/>
      <c r="V118" s="53" t="s">
        <v>57</v>
      </c>
      <c r="W118" s="190" t="str">
        <f>U85</f>
        <v/>
      </c>
      <c r="X118" s="77"/>
      <c r="Y118" s="77"/>
      <c r="Z118" s="188"/>
      <c r="AA118" s="175"/>
      <c r="AB118" s="175"/>
      <c r="AC118" s="189"/>
      <c r="AD118" s="40"/>
      <c r="AE118" s="40"/>
      <c r="AF118" s="53" t="s">
        <v>57</v>
      </c>
      <c r="AG118" s="190" t="str">
        <f>AE85</f>
        <v/>
      </c>
      <c r="AH118" s="77"/>
      <c r="AI118" s="77"/>
      <c r="AJ118" s="188" t="str">
        <f t="shared" si="12"/>
        <v>Brazil</v>
      </c>
      <c r="AK118" s="175"/>
      <c r="AL118" s="175"/>
      <c r="AM118" s="189"/>
      <c r="AN118" s="40"/>
      <c r="AO118" s="40"/>
      <c r="AP118" s="53" t="s">
        <v>57</v>
      </c>
      <c r="AQ118" s="190" t="str">
        <f>AO85</f>
        <v/>
      </c>
      <c r="AR118" s="77"/>
      <c r="AS118" s="77"/>
      <c r="AT118" s="188" t="str">
        <f t="shared" si="13"/>
        <v>Brazil</v>
      </c>
      <c r="AU118" s="175"/>
      <c r="AV118" s="175"/>
      <c r="AW118" s="189"/>
      <c r="AX118" s="40"/>
      <c r="AY118" s="40"/>
      <c r="AZ118" s="53" t="s">
        <v>57</v>
      </c>
      <c r="BA118" s="190" t="str">
        <f>AY85</f>
        <v/>
      </c>
      <c r="BB118" s="77"/>
      <c r="BC118" s="77"/>
      <c r="BD118" s="188" t="str">
        <f t="shared" si="14"/>
        <v>Morocco</v>
      </c>
      <c r="BE118" s="175"/>
      <c r="BF118" s="175"/>
      <c r="BG118" s="189"/>
      <c r="BH118" s="40"/>
      <c r="BI118" s="40"/>
      <c r="BJ118" s="53" t="s">
        <v>57</v>
      </c>
      <c r="BK118" s="190" t="str">
        <f>BI85</f>
        <v/>
      </c>
      <c r="BL118" s="77"/>
      <c r="BM118" s="77"/>
      <c r="BN118" s="188" t="str">
        <f t="shared" si="15"/>
        <v>Brazil</v>
      </c>
      <c r="BO118" s="175"/>
      <c r="BP118" s="175"/>
      <c r="BQ118" s="189"/>
      <c r="BR118" s="40"/>
      <c r="BS118" s="40"/>
      <c r="BT118" s="53" t="s">
        <v>57</v>
      </c>
      <c r="BU118" s="190" t="str">
        <f t="shared" ref="BU118:BU120" si="19">#REF!</f>
        <v>#REF!</v>
      </c>
      <c r="BV118" s="77"/>
      <c r="BW118" s="77"/>
      <c r="BX118" s="188" t="str">
        <f t="shared" si="16"/>
        <v>Brazil</v>
      </c>
      <c r="BY118" s="175"/>
      <c r="BZ118" s="175"/>
      <c r="CA118" s="189"/>
      <c r="CB118" s="40"/>
      <c r="CC118" s="40"/>
      <c r="CD118" s="53" t="s">
        <v>57</v>
      </c>
      <c r="CE118" s="190" t="str">
        <f t="shared" ref="CE118:CE120" si="20">#REF!</f>
        <v>#REF!</v>
      </c>
      <c r="CF118" s="77"/>
      <c r="CG118" s="77"/>
      <c r="CH118" s="188" t="str">
        <f t="shared" si="17"/>
        <v>Scotland</v>
      </c>
      <c r="CI118" s="175"/>
      <c r="CJ118" s="175"/>
      <c r="CK118" s="189"/>
      <c r="CL118" s="40"/>
      <c r="CM118" s="40"/>
      <c r="CN118" s="183" t="s">
        <v>57</v>
      </c>
      <c r="CO118" s="191" t="str">
        <f t="shared" ref="CO118:CO120" si="21">#REF!</f>
        <v>#REF!</v>
      </c>
      <c r="CP118" s="174"/>
      <c r="CQ118" s="174"/>
      <c r="CR118" s="176" t="str">
        <f t="shared" si="18"/>
        <v/>
      </c>
      <c r="CS118" s="176"/>
      <c r="CT118" s="176"/>
      <c r="CU118" s="136"/>
      <c r="CV118" s="137"/>
      <c r="CW118" s="137"/>
    </row>
    <row r="119" ht="15.75" customHeight="1">
      <c r="A119" s="50"/>
      <c r="B119" s="33">
        <v>91.0</v>
      </c>
      <c r="C119" s="33" t="s">
        <v>135</v>
      </c>
      <c r="D119" s="185"/>
      <c r="E119" s="185" t="str">
        <f>C87</f>
        <v/>
      </c>
      <c r="F119" s="77"/>
      <c r="G119" s="77"/>
      <c r="H119" s="186"/>
      <c r="I119" s="33"/>
      <c r="J119" s="33"/>
      <c r="K119" s="160"/>
      <c r="L119" s="53" t="s">
        <v>44</v>
      </c>
      <c r="M119" s="187" t="str">
        <f>K87</f>
        <v/>
      </c>
      <c r="N119" s="77"/>
      <c r="O119" s="77"/>
      <c r="P119" s="188"/>
      <c r="Q119" s="175"/>
      <c r="R119" s="175"/>
      <c r="S119" s="192"/>
      <c r="T119" s="40"/>
      <c r="U119" s="40"/>
      <c r="V119" s="53" t="s">
        <v>44</v>
      </c>
      <c r="W119" s="190" t="str">
        <f>U87</f>
        <v/>
      </c>
      <c r="X119" s="77"/>
      <c r="Y119" s="77"/>
      <c r="Z119" s="188"/>
      <c r="AA119" s="175"/>
      <c r="AB119" s="175"/>
      <c r="AC119" s="192"/>
      <c r="AD119" s="40"/>
      <c r="AE119" s="40"/>
      <c r="AF119" s="53" t="s">
        <v>44</v>
      </c>
      <c r="AG119" s="190" t="str">
        <f>AE87</f>
        <v/>
      </c>
      <c r="AH119" s="77"/>
      <c r="AI119" s="77"/>
      <c r="AJ119" s="188"/>
      <c r="AK119" s="175"/>
      <c r="AL119" s="175"/>
      <c r="AM119" s="192"/>
      <c r="AN119" s="40"/>
      <c r="AO119" s="40"/>
      <c r="AP119" s="53" t="s">
        <v>44</v>
      </c>
      <c r="AQ119" s="190" t="str">
        <f>AO87</f>
        <v/>
      </c>
      <c r="AR119" s="77"/>
      <c r="AS119" s="77"/>
      <c r="AT119" s="188"/>
      <c r="AU119" s="175"/>
      <c r="AV119" s="175"/>
      <c r="AW119" s="192"/>
      <c r="AX119" s="40"/>
      <c r="AY119" s="40"/>
      <c r="AZ119" s="53" t="s">
        <v>44</v>
      </c>
      <c r="BA119" s="190" t="str">
        <f>AY87</f>
        <v/>
      </c>
      <c r="BB119" s="77"/>
      <c r="BC119" s="77"/>
      <c r="BD119" s="188"/>
      <c r="BE119" s="175"/>
      <c r="BF119" s="175"/>
      <c r="BG119" s="192"/>
      <c r="BH119" s="40"/>
      <c r="BI119" s="40"/>
      <c r="BJ119" s="53" t="s">
        <v>44</v>
      </c>
      <c r="BK119" s="190" t="str">
        <f>BI87</f>
        <v/>
      </c>
      <c r="BL119" s="77"/>
      <c r="BM119" s="77"/>
      <c r="BN119" s="188"/>
      <c r="BO119" s="175"/>
      <c r="BP119" s="175"/>
      <c r="BQ119" s="192"/>
      <c r="BR119" s="40"/>
      <c r="BS119" s="40"/>
      <c r="BT119" s="53" t="s">
        <v>44</v>
      </c>
      <c r="BU119" s="190" t="str">
        <f t="shared" si="19"/>
        <v>#REF!</v>
      </c>
      <c r="BV119" s="77"/>
      <c r="BW119" s="77"/>
      <c r="BX119" s="188"/>
      <c r="BY119" s="175"/>
      <c r="BZ119" s="175"/>
      <c r="CA119" s="192"/>
      <c r="CB119" s="40"/>
      <c r="CC119" s="40"/>
      <c r="CD119" s="53" t="s">
        <v>44</v>
      </c>
      <c r="CE119" s="190" t="str">
        <f t="shared" si="20"/>
        <v>#REF!</v>
      </c>
      <c r="CF119" s="77"/>
      <c r="CG119" s="77"/>
      <c r="CH119" s="188"/>
      <c r="CI119" s="175"/>
      <c r="CJ119" s="175"/>
      <c r="CK119" s="192"/>
      <c r="CL119" s="40"/>
      <c r="CM119" s="40"/>
      <c r="CN119" s="183" t="s">
        <v>44</v>
      </c>
      <c r="CO119" s="191" t="str">
        <f t="shared" si="21"/>
        <v>#REF!</v>
      </c>
      <c r="CP119" s="174"/>
      <c r="CQ119" s="174"/>
      <c r="CR119" s="176"/>
      <c r="CS119" s="176"/>
      <c r="CT119" s="176"/>
      <c r="CU119" s="136"/>
      <c r="CV119" s="137"/>
      <c r="CW119" s="137"/>
    </row>
    <row r="120" ht="15.75" customHeight="1">
      <c r="A120" s="50"/>
      <c r="B120" s="33">
        <v>92.0</v>
      </c>
      <c r="C120" s="33" t="s">
        <v>135</v>
      </c>
      <c r="D120" s="185"/>
      <c r="E120" s="185" t="str">
        <f>C86</f>
        <v/>
      </c>
      <c r="F120" s="77"/>
      <c r="G120" s="77"/>
      <c r="H120" s="186"/>
      <c r="I120" s="33"/>
      <c r="J120" s="33"/>
      <c r="K120" s="160"/>
      <c r="L120" s="53" t="s">
        <v>40</v>
      </c>
      <c r="M120" s="187" t="str">
        <f>K86</f>
        <v/>
      </c>
      <c r="N120" s="77"/>
      <c r="O120" s="77"/>
      <c r="P120" s="188"/>
      <c r="Q120" s="175"/>
      <c r="R120" s="175"/>
      <c r="S120" s="192"/>
      <c r="T120" s="40"/>
      <c r="U120" s="40"/>
      <c r="V120" s="53" t="s">
        <v>40</v>
      </c>
      <c r="W120" s="190" t="str">
        <f>U86</f>
        <v/>
      </c>
      <c r="X120" s="77"/>
      <c r="Y120" s="77"/>
      <c r="Z120" s="188"/>
      <c r="AA120" s="175"/>
      <c r="AB120" s="175"/>
      <c r="AC120" s="192"/>
      <c r="AD120" s="40"/>
      <c r="AE120" s="40"/>
      <c r="AF120" s="53" t="s">
        <v>40</v>
      </c>
      <c r="AG120" s="190" t="str">
        <f>AE86</f>
        <v/>
      </c>
      <c r="AH120" s="77"/>
      <c r="AI120" s="77"/>
      <c r="AJ120" s="188"/>
      <c r="AK120" s="175"/>
      <c r="AL120" s="175"/>
      <c r="AM120" s="192"/>
      <c r="AN120" s="40"/>
      <c r="AO120" s="40"/>
      <c r="AP120" s="53" t="s">
        <v>40</v>
      </c>
      <c r="AQ120" s="190" t="str">
        <f>AO86</f>
        <v/>
      </c>
      <c r="AR120" s="77"/>
      <c r="AS120" s="77"/>
      <c r="AT120" s="188"/>
      <c r="AU120" s="175"/>
      <c r="AV120" s="175"/>
      <c r="AW120" s="192"/>
      <c r="AX120" s="40"/>
      <c r="AY120" s="40"/>
      <c r="AZ120" s="53" t="s">
        <v>40</v>
      </c>
      <c r="BA120" s="190" t="str">
        <f>AY86</f>
        <v/>
      </c>
      <c r="BB120" s="77"/>
      <c r="BC120" s="77"/>
      <c r="BD120" s="188"/>
      <c r="BE120" s="175"/>
      <c r="BF120" s="175"/>
      <c r="BG120" s="192"/>
      <c r="BH120" s="40"/>
      <c r="BI120" s="40"/>
      <c r="BJ120" s="53" t="s">
        <v>40</v>
      </c>
      <c r="BK120" s="190" t="str">
        <f>BI86</f>
        <v/>
      </c>
      <c r="BL120" s="77"/>
      <c r="BM120" s="77"/>
      <c r="BN120" s="188"/>
      <c r="BO120" s="175"/>
      <c r="BP120" s="175"/>
      <c r="BQ120" s="192"/>
      <c r="BR120" s="40"/>
      <c r="BS120" s="40"/>
      <c r="BT120" s="53" t="s">
        <v>40</v>
      </c>
      <c r="BU120" s="190" t="str">
        <f t="shared" si="19"/>
        <v>#REF!</v>
      </c>
      <c r="BV120" s="77"/>
      <c r="BW120" s="77"/>
      <c r="BX120" s="188"/>
      <c r="BY120" s="175"/>
      <c r="BZ120" s="175"/>
      <c r="CA120" s="192"/>
      <c r="CB120" s="40"/>
      <c r="CC120" s="40"/>
      <c r="CD120" s="53" t="s">
        <v>40</v>
      </c>
      <c r="CE120" s="190" t="str">
        <f t="shared" si="20"/>
        <v>#REF!</v>
      </c>
      <c r="CF120" s="77"/>
      <c r="CG120" s="77"/>
      <c r="CH120" s="188"/>
      <c r="CI120" s="175"/>
      <c r="CJ120" s="175"/>
      <c r="CK120" s="192"/>
      <c r="CL120" s="40"/>
      <c r="CM120" s="40"/>
      <c r="CN120" s="183" t="s">
        <v>40</v>
      </c>
      <c r="CO120" s="191" t="str">
        <f t="shared" si="21"/>
        <v>#REF!</v>
      </c>
      <c r="CP120" s="174"/>
      <c r="CQ120" s="174"/>
      <c r="CR120" s="176"/>
      <c r="CS120" s="176"/>
      <c r="CT120" s="176"/>
      <c r="CU120" s="136"/>
      <c r="CV120" s="137"/>
      <c r="CW120" s="137"/>
    </row>
    <row r="121" ht="15.75" customHeight="1">
      <c r="A121" s="50"/>
      <c r="B121" s="33">
        <v>93.0</v>
      </c>
      <c r="C121" s="33" t="s">
        <v>135</v>
      </c>
      <c r="D121" s="185"/>
      <c r="E121" s="185" t="str">
        <f>E88</f>
        <v/>
      </c>
      <c r="F121" s="77"/>
      <c r="G121" s="77"/>
      <c r="H121" s="186"/>
      <c r="I121" s="33"/>
      <c r="J121" s="33"/>
      <c r="K121" s="160"/>
      <c r="L121" s="53" t="s">
        <v>136</v>
      </c>
      <c r="M121" s="187" t="str">
        <f>M88</f>
        <v>Turkey</v>
      </c>
      <c r="N121" s="77"/>
      <c r="O121" s="77"/>
      <c r="P121" s="188"/>
      <c r="Q121" s="175"/>
      <c r="R121" s="175"/>
      <c r="S121" s="192"/>
      <c r="T121" s="40"/>
      <c r="U121" s="40"/>
      <c r="V121" s="53" t="s">
        <v>136</v>
      </c>
      <c r="W121" s="187"/>
      <c r="X121" s="77"/>
      <c r="Y121" s="77"/>
      <c r="Z121" s="188"/>
      <c r="AA121" s="175"/>
      <c r="AB121" s="175"/>
      <c r="AC121" s="192"/>
      <c r="AD121" s="40"/>
      <c r="AE121" s="40"/>
      <c r="AF121" s="53" t="s">
        <v>136</v>
      </c>
      <c r="AG121" s="187" t="str">
        <f>AG88</f>
        <v>Australia</v>
      </c>
      <c r="AH121" s="77"/>
      <c r="AI121" s="77"/>
      <c r="AJ121" s="188"/>
      <c r="AK121" s="175"/>
      <c r="AL121" s="175"/>
      <c r="AM121" s="192"/>
      <c r="AN121" s="40"/>
      <c r="AO121" s="40"/>
      <c r="AP121" s="53" t="s">
        <v>136</v>
      </c>
      <c r="AQ121" s="187" t="str">
        <f>AQ88</f>
        <v>USA</v>
      </c>
      <c r="AR121" s="77"/>
      <c r="AS121" s="77"/>
      <c r="AT121" s="188"/>
      <c r="AU121" s="175"/>
      <c r="AV121" s="175"/>
      <c r="AW121" s="192"/>
      <c r="AX121" s="40"/>
      <c r="AY121" s="40"/>
      <c r="AZ121" s="53" t="s">
        <v>136</v>
      </c>
      <c r="BA121" s="187" t="str">
        <f>BA88</f>
        <v>Turkey</v>
      </c>
      <c r="BB121" s="77"/>
      <c r="BC121" s="77"/>
      <c r="BD121" s="188"/>
      <c r="BE121" s="175"/>
      <c r="BF121" s="175"/>
      <c r="BG121" s="192"/>
      <c r="BH121" s="40"/>
      <c r="BI121" s="40"/>
      <c r="BJ121" s="53" t="s">
        <v>136</v>
      </c>
      <c r="BK121" s="187" t="str">
        <f>BK88</f>
        <v>Australia</v>
      </c>
      <c r="BL121" s="77"/>
      <c r="BM121" s="77"/>
      <c r="BN121" s="188"/>
      <c r="BO121" s="175"/>
      <c r="BP121" s="175"/>
      <c r="BQ121" s="192"/>
      <c r="BR121" s="40"/>
      <c r="BS121" s="40"/>
      <c r="BT121" s="53" t="s">
        <v>136</v>
      </c>
      <c r="BU121" s="187" t="str">
        <f>BU88</f>
        <v>United states</v>
      </c>
      <c r="BV121" s="77"/>
      <c r="BW121" s="77"/>
      <c r="BX121" s="188"/>
      <c r="BY121" s="175"/>
      <c r="BZ121" s="175"/>
      <c r="CA121" s="192"/>
      <c r="CB121" s="40"/>
      <c r="CC121" s="40"/>
      <c r="CD121" s="53" t="s">
        <v>136</v>
      </c>
      <c r="CE121" s="187" t="str">
        <f>CE88</f>
        <v>Paraguay</v>
      </c>
      <c r="CF121" s="77"/>
      <c r="CG121" s="77"/>
      <c r="CH121" s="188"/>
      <c r="CI121" s="175"/>
      <c r="CJ121" s="175"/>
      <c r="CK121" s="192"/>
      <c r="CL121" s="40"/>
      <c r="CM121" s="40"/>
      <c r="CN121" s="183" t="s">
        <v>136</v>
      </c>
      <c r="CO121" s="176" t="str">
        <f>CO88</f>
        <v/>
      </c>
      <c r="CP121" s="174"/>
      <c r="CQ121" s="174"/>
      <c r="CR121" s="176"/>
      <c r="CS121" s="176"/>
      <c r="CT121" s="176"/>
      <c r="CU121" s="136"/>
      <c r="CV121" s="137"/>
      <c r="CW121" s="137"/>
    </row>
    <row r="122" ht="15.75" customHeight="1">
      <c r="A122" s="50"/>
      <c r="B122" s="33">
        <v>94.0</v>
      </c>
      <c r="C122" s="33" t="s">
        <v>135</v>
      </c>
      <c r="D122" s="185"/>
      <c r="E122" s="185" t="str">
        <f>C94</f>
        <v/>
      </c>
      <c r="F122" s="77"/>
      <c r="G122" s="77"/>
      <c r="H122" s="186"/>
      <c r="I122" s="33"/>
      <c r="J122" s="33"/>
      <c r="K122" s="160"/>
      <c r="L122" s="53" t="s">
        <v>47</v>
      </c>
      <c r="M122" s="187" t="str">
        <f>K94</f>
        <v/>
      </c>
      <c r="N122" s="77"/>
      <c r="O122" s="77"/>
      <c r="P122" s="188"/>
      <c r="Q122" s="175"/>
      <c r="R122" s="175"/>
      <c r="S122" s="192"/>
      <c r="T122" s="40"/>
      <c r="U122" s="40"/>
      <c r="V122" s="53" t="s">
        <v>47</v>
      </c>
      <c r="W122" s="190" t="str">
        <f>U94</f>
        <v/>
      </c>
      <c r="X122" s="77"/>
      <c r="Y122" s="77"/>
      <c r="Z122" s="188"/>
      <c r="AA122" s="175"/>
      <c r="AB122" s="175"/>
      <c r="AC122" s="192"/>
      <c r="AD122" s="40"/>
      <c r="AE122" s="40"/>
      <c r="AF122" s="53" t="s">
        <v>47</v>
      </c>
      <c r="AG122" s="190" t="str">
        <f>AE94</f>
        <v/>
      </c>
      <c r="AH122" s="77"/>
      <c r="AI122" s="77"/>
      <c r="AJ122" s="188"/>
      <c r="AK122" s="175"/>
      <c r="AL122" s="175"/>
      <c r="AM122" s="192"/>
      <c r="AN122" s="40"/>
      <c r="AO122" s="40"/>
      <c r="AP122" s="53" t="s">
        <v>47</v>
      </c>
      <c r="AQ122" s="190" t="str">
        <f>AO94</f>
        <v/>
      </c>
      <c r="AR122" s="77"/>
      <c r="AS122" s="77"/>
      <c r="AT122" s="188"/>
      <c r="AU122" s="175"/>
      <c r="AV122" s="175"/>
      <c r="AW122" s="192"/>
      <c r="AX122" s="40"/>
      <c r="AY122" s="40"/>
      <c r="AZ122" s="53" t="s">
        <v>47</v>
      </c>
      <c r="BA122" s="190" t="str">
        <f>AY94</f>
        <v/>
      </c>
      <c r="BB122" s="77"/>
      <c r="BC122" s="77"/>
      <c r="BD122" s="188"/>
      <c r="BE122" s="175"/>
      <c r="BF122" s="175"/>
      <c r="BG122" s="192"/>
      <c r="BH122" s="40"/>
      <c r="BI122" s="40"/>
      <c r="BJ122" s="53" t="s">
        <v>47</v>
      </c>
      <c r="BK122" s="190" t="str">
        <f>BI94</f>
        <v/>
      </c>
      <c r="BL122" s="77"/>
      <c r="BM122" s="77"/>
      <c r="BN122" s="188"/>
      <c r="BO122" s="175"/>
      <c r="BP122" s="175"/>
      <c r="BQ122" s="192"/>
      <c r="BR122" s="40"/>
      <c r="BS122" s="40"/>
      <c r="BT122" s="53" t="s">
        <v>47</v>
      </c>
      <c r="BU122" s="190" t="str">
        <f t="shared" ref="BU122:BU124" si="22">#REF!</f>
        <v>#REF!</v>
      </c>
      <c r="BV122" s="77"/>
      <c r="BW122" s="77"/>
      <c r="BX122" s="188"/>
      <c r="BY122" s="175"/>
      <c r="BZ122" s="175"/>
      <c r="CA122" s="192"/>
      <c r="CB122" s="40"/>
      <c r="CC122" s="40"/>
      <c r="CD122" s="53" t="s">
        <v>47</v>
      </c>
      <c r="CE122" s="190" t="str">
        <f t="shared" ref="CE122:CE124" si="23">#REF!</f>
        <v>#REF!</v>
      </c>
      <c r="CF122" s="77"/>
      <c r="CG122" s="77"/>
      <c r="CH122" s="188"/>
      <c r="CI122" s="175"/>
      <c r="CJ122" s="175"/>
      <c r="CK122" s="192"/>
      <c r="CL122" s="40"/>
      <c r="CM122" s="40"/>
      <c r="CN122" s="183" t="s">
        <v>47</v>
      </c>
      <c r="CO122" s="191" t="str">
        <f t="shared" ref="CO122:CO124" si="24">#REF!</f>
        <v>#REF!</v>
      </c>
      <c r="CP122" s="174"/>
      <c r="CQ122" s="174"/>
      <c r="CR122" s="176"/>
      <c r="CS122" s="176"/>
      <c r="CT122" s="176"/>
      <c r="CU122" s="136"/>
      <c r="CV122" s="137"/>
      <c r="CW122" s="137"/>
    </row>
    <row r="123" ht="15.75" customHeight="1">
      <c r="A123" s="50"/>
      <c r="B123" s="33">
        <v>95.0</v>
      </c>
      <c r="C123" s="33" t="s">
        <v>135</v>
      </c>
      <c r="D123" s="185"/>
      <c r="E123" s="185" t="str">
        <f>C93</f>
        <v/>
      </c>
      <c r="F123" s="77"/>
      <c r="G123" s="77"/>
      <c r="H123" s="186"/>
      <c r="I123" s="33"/>
      <c r="J123" s="33"/>
      <c r="K123" s="160"/>
      <c r="L123" s="53" t="s">
        <v>78</v>
      </c>
      <c r="M123" s="187" t="str">
        <f>K93</f>
        <v/>
      </c>
      <c r="N123" s="77"/>
      <c r="O123" s="77"/>
      <c r="P123" s="188"/>
      <c r="Q123" s="175"/>
      <c r="R123" s="175"/>
      <c r="S123" s="192"/>
      <c r="T123" s="40"/>
      <c r="U123" s="40"/>
      <c r="V123" s="53" t="s">
        <v>78</v>
      </c>
      <c r="W123" s="190" t="str">
        <f>U93</f>
        <v/>
      </c>
      <c r="X123" s="77"/>
      <c r="Y123" s="77"/>
      <c r="Z123" s="188"/>
      <c r="AA123" s="175"/>
      <c r="AB123" s="175"/>
      <c r="AC123" s="192"/>
      <c r="AD123" s="40"/>
      <c r="AE123" s="40"/>
      <c r="AF123" s="53" t="s">
        <v>78</v>
      </c>
      <c r="AG123" s="190" t="str">
        <f>AE93</f>
        <v/>
      </c>
      <c r="AH123" s="77"/>
      <c r="AI123" s="77"/>
      <c r="AJ123" s="188"/>
      <c r="AK123" s="175"/>
      <c r="AL123" s="175"/>
      <c r="AM123" s="192"/>
      <c r="AN123" s="40"/>
      <c r="AO123" s="40"/>
      <c r="AP123" s="53" t="s">
        <v>78</v>
      </c>
      <c r="AQ123" s="190" t="str">
        <f>AO93</f>
        <v/>
      </c>
      <c r="AR123" s="77"/>
      <c r="AS123" s="77"/>
      <c r="AT123" s="188"/>
      <c r="AU123" s="175"/>
      <c r="AV123" s="175"/>
      <c r="AW123" s="192"/>
      <c r="AX123" s="40"/>
      <c r="AY123" s="40"/>
      <c r="AZ123" s="53" t="s">
        <v>78</v>
      </c>
      <c r="BA123" s="190" t="str">
        <f>AY93</f>
        <v/>
      </c>
      <c r="BB123" s="77"/>
      <c r="BC123" s="77"/>
      <c r="BD123" s="188"/>
      <c r="BE123" s="175"/>
      <c r="BF123" s="175"/>
      <c r="BG123" s="192"/>
      <c r="BH123" s="40"/>
      <c r="BI123" s="40"/>
      <c r="BJ123" s="53" t="s">
        <v>78</v>
      </c>
      <c r="BK123" s="190" t="str">
        <f>BI93</f>
        <v/>
      </c>
      <c r="BL123" s="77"/>
      <c r="BM123" s="77"/>
      <c r="BN123" s="188"/>
      <c r="BO123" s="175"/>
      <c r="BP123" s="175"/>
      <c r="BQ123" s="192"/>
      <c r="BR123" s="40"/>
      <c r="BS123" s="40"/>
      <c r="BT123" s="53" t="s">
        <v>78</v>
      </c>
      <c r="BU123" s="190" t="str">
        <f t="shared" si="22"/>
        <v>#REF!</v>
      </c>
      <c r="BV123" s="77"/>
      <c r="BW123" s="77"/>
      <c r="BX123" s="188"/>
      <c r="BY123" s="175"/>
      <c r="BZ123" s="175"/>
      <c r="CA123" s="192"/>
      <c r="CB123" s="40"/>
      <c r="CC123" s="40"/>
      <c r="CD123" s="53" t="s">
        <v>78</v>
      </c>
      <c r="CE123" s="190" t="str">
        <f t="shared" si="23"/>
        <v>#REF!</v>
      </c>
      <c r="CF123" s="77"/>
      <c r="CG123" s="77"/>
      <c r="CH123" s="188"/>
      <c r="CI123" s="175"/>
      <c r="CJ123" s="175"/>
      <c r="CK123" s="192"/>
      <c r="CL123" s="40"/>
      <c r="CM123" s="40"/>
      <c r="CN123" s="183" t="s">
        <v>78</v>
      </c>
      <c r="CO123" s="191" t="str">
        <f t="shared" si="24"/>
        <v>#REF!</v>
      </c>
      <c r="CP123" s="174"/>
      <c r="CQ123" s="174"/>
      <c r="CR123" s="176"/>
      <c r="CS123" s="176"/>
      <c r="CT123" s="176"/>
      <c r="CU123" s="136"/>
      <c r="CV123" s="137"/>
      <c r="CW123" s="137"/>
    </row>
    <row r="124" ht="15.75" customHeight="1">
      <c r="A124" s="50"/>
      <c r="B124" s="84">
        <v>96.0</v>
      </c>
      <c r="C124" s="84" t="s">
        <v>135</v>
      </c>
      <c r="D124" s="193"/>
      <c r="E124" s="193" t="str">
        <f>C88</f>
        <v/>
      </c>
      <c r="F124" s="77"/>
      <c r="G124" s="77"/>
      <c r="H124" s="194" t="str">
        <f>E94</f>
        <v/>
      </c>
      <c r="I124" s="84"/>
      <c r="J124" s="84"/>
      <c r="K124" s="160"/>
      <c r="L124" s="53" t="s">
        <v>137</v>
      </c>
      <c r="M124" s="195" t="str">
        <f>K88</f>
        <v/>
      </c>
      <c r="N124" s="77"/>
      <c r="O124" s="77"/>
      <c r="P124" s="196" t="str">
        <f>M94</f>
        <v>Argentina</v>
      </c>
      <c r="Q124" s="197"/>
      <c r="R124" s="197"/>
      <c r="S124" s="192"/>
      <c r="T124" s="40"/>
      <c r="U124" s="40"/>
      <c r="V124" s="53" t="s">
        <v>137</v>
      </c>
      <c r="W124" s="198" t="str">
        <f>U88</f>
        <v/>
      </c>
      <c r="X124" s="77"/>
      <c r="Y124" s="77"/>
      <c r="Z124" s="196"/>
      <c r="AA124" s="197"/>
      <c r="AB124" s="197"/>
      <c r="AC124" s="192"/>
      <c r="AD124" s="40"/>
      <c r="AE124" s="40"/>
      <c r="AF124" s="53" t="s">
        <v>137</v>
      </c>
      <c r="AG124" s="198" t="str">
        <f>AE88</f>
        <v/>
      </c>
      <c r="AH124" s="77"/>
      <c r="AI124" s="77"/>
      <c r="AJ124" s="196" t="str">
        <f>AG94</f>
        <v>Argentina</v>
      </c>
      <c r="AK124" s="197"/>
      <c r="AL124" s="197"/>
      <c r="AM124" s="192"/>
      <c r="AN124" s="40"/>
      <c r="AO124" s="40"/>
      <c r="AP124" s="53" t="s">
        <v>137</v>
      </c>
      <c r="AQ124" s="198" t="str">
        <f>AO88</f>
        <v/>
      </c>
      <c r="AR124" s="77"/>
      <c r="AS124" s="77"/>
      <c r="AT124" s="196" t="str">
        <f>AQ94</f>
        <v>Argentina</v>
      </c>
      <c r="AU124" s="197"/>
      <c r="AV124" s="197"/>
      <c r="AW124" s="192"/>
      <c r="AX124" s="40"/>
      <c r="AY124" s="40"/>
      <c r="AZ124" s="53" t="s">
        <v>137</v>
      </c>
      <c r="BA124" s="198" t="str">
        <f>AY88</f>
        <v/>
      </c>
      <c r="BB124" s="77"/>
      <c r="BC124" s="77"/>
      <c r="BD124" s="196" t="str">
        <f>BA94</f>
        <v>Argentina</v>
      </c>
      <c r="BE124" s="197"/>
      <c r="BF124" s="197"/>
      <c r="BG124" s="192"/>
      <c r="BH124" s="40"/>
      <c r="BI124" s="40"/>
      <c r="BJ124" s="53" t="s">
        <v>137</v>
      </c>
      <c r="BK124" s="198" t="str">
        <f>BI88</f>
        <v/>
      </c>
      <c r="BL124" s="77"/>
      <c r="BM124" s="77"/>
      <c r="BN124" s="196" t="str">
        <f>BK94</f>
        <v>Argentin</v>
      </c>
      <c r="BO124" s="197"/>
      <c r="BP124" s="197"/>
      <c r="BQ124" s="192"/>
      <c r="BR124" s="40"/>
      <c r="BS124" s="40"/>
      <c r="BT124" s="53" t="s">
        <v>137</v>
      </c>
      <c r="BU124" s="198" t="str">
        <f t="shared" si="22"/>
        <v>#REF!</v>
      </c>
      <c r="BV124" s="77"/>
      <c r="BW124" s="77"/>
      <c r="BX124" s="196" t="str">
        <f>BU94</f>
        <v>Argentina</v>
      </c>
      <c r="BY124" s="197"/>
      <c r="BZ124" s="197"/>
      <c r="CA124" s="192"/>
      <c r="CB124" s="40"/>
      <c r="CC124" s="40"/>
      <c r="CD124" s="53" t="s">
        <v>137</v>
      </c>
      <c r="CE124" s="198" t="str">
        <f t="shared" si="23"/>
        <v>#REF!</v>
      </c>
      <c r="CF124" s="77"/>
      <c r="CG124" s="77"/>
      <c r="CH124" s="196" t="str">
        <f>CE94</f>
        <v>Argentina</v>
      </c>
      <c r="CI124" s="197"/>
      <c r="CJ124" s="197"/>
      <c r="CK124" s="192"/>
      <c r="CL124" s="40"/>
      <c r="CM124" s="40"/>
      <c r="CN124" s="183" t="s">
        <v>137</v>
      </c>
      <c r="CO124" s="199" t="str">
        <f t="shared" si="24"/>
        <v>#REF!</v>
      </c>
      <c r="CP124" s="174"/>
      <c r="CQ124" s="174"/>
      <c r="CR124" s="200" t="str">
        <f>CO94</f>
        <v/>
      </c>
      <c r="CS124" s="200"/>
      <c r="CT124" s="200"/>
      <c r="CU124" s="136"/>
      <c r="CV124" s="137"/>
      <c r="CW124" s="137"/>
    </row>
    <row r="125" ht="15.75" customHeight="1">
      <c r="A125" s="50"/>
      <c r="B125" s="177">
        <v>97.0</v>
      </c>
      <c r="C125" s="177" t="s">
        <v>138</v>
      </c>
      <c r="D125" s="178"/>
      <c r="E125" s="178"/>
      <c r="F125" s="201"/>
      <c r="G125" s="201"/>
      <c r="H125" s="179"/>
      <c r="I125" s="177"/>
      <c r="J125" s="177"/>
      <c r="K125" s="160"/>
      <c r="L125" s="53"/>
      <c r="M125" s="180"/>
      <c r="N125" s="201"/>
      <c r="O125" s="201"/>
      <c r="P125" s="181"/>
      <c r="Q125" s="182"/>
      <c r="R125" s="182"/>
      <c r="S125" s="192"/>
      <c r="T125" s="40"/>
      <c r="U125" s="40"/>
      <c r="V125" s="53"/>
      <c r="W125" s="180"/>
      <c r="X125" s="201"/>
      <c r="Y125" s="201"/>
      <c r="Z125" s="181"/>
      <c r="AA125" s="182"/>
      <c r="AB125" s="182"/>
      <c r="AC125" s="192"/>
      <c r="AD125" s="40"/>
      <c r="AE125" s="40"/>
      <c r="AF125" s="53"/>
      <c r="AG125" s="180"/>
      <c r="AH125" s="201"/>
      <c r="AI125" s="201"/>
      <c r="AJ125" s="181"/>
      <c r="AK125" s="182"/>
      <c r="AL125" s="182"/>
      <c r="AM125" s="192"/>
      <c r="AN125" s="40"/>
      <c r="AO125" s="40"/>
      <c r="AP125" s="53"/>
      <c r="AQ125" s="180"/>
      <c r="AR125" s="201"/>
      <c r="AS125" s="201"/>
      <c r="AT125" s="181"/>
      <c r="AU125" s="182"/>
      <c r="AV125" s="182"/>
      <c r="AW125" s="192"/>
      <c r="AX125" s="40"/>
      <c r="AY125" s="40"/>
      <c r="AZ125" s="53"/>
      <c r="BA125" s="180"/>
      <c r="BB125" s="201"/>
      <c r="BC125" s="201"/>
      <c r="BD125" s="181"/>
      <c r="BE125" s="182"/>
      <c r="BF125" s="182"/>
      <c r="BG125" s="192"/>
      <c r="BH125" s="40"/>
      <c r="BI125" s="40"/>
      <c r="BJ125" s="53"/>
      <c r="BK125" s="180"/>
      <c r="BL125" s="201"/>
      <c r="BM125" s="201"/>
      <c r="BN125" s="181"/>
      <c r="BO125" s="182"/>
      <c r="BP125" s="182"/>
      <c r="BQ125" s="192"/>
      <c r="BR125" s="40"/>
      <c r="BS125" s="40"/>
      <c r="BT125" s="53"/>
      <c r="BU125" s="180"/>
      <c r="BV125" s="201"/>
      <c r="BW125" s="201"/>
      <c r="BX125" s="181"/>
      <c r="BY125" s="182"/>
      <c r="BZ125" s="182"/>
      <c r="CA125" s="192"/>
      <c r="CB125" s="40"/>
      <c r="CC125" s="40"/>
      <c r="CD125" s="53"/>
      <c r="CE125" s="180"/>
      <c r="CF125" s="201"/>
      <c r="CG125" s="201"/>
      <c r="CH125" s="181"/>
      <c r="CI125" s="182"/>
      <c r="CJ125" s="182"/>
      <c r="CK125" s="192"/>
      <c r="CL125" s="40"/>
      <c r="CM125" s="40"/>
      <c r="CN125" s="149"/>
      <c r="CO125" s="184"/>
      <c r="CP125" s="202"/>
      <c r="CQ125" s="202"/>
      <c r="CR125" s="184"/>
      <c r="CS125" s="184"/>
      <c r="CT125" s="184"/>
      <c r="CU125" s="136"/>
      <c r="CV125" s="137"/>
      <c r="CW125" s="137"/>
    </row>
    <row r="126" ht="15.75" customHeight="1">
      <c r="A126" s="50"/>
      <c r="B126" s="33">
        <v>98.0</v>
      </c>
      <c r="C126" s="33" t="s">
        <v>138</v>
      </c>
      <c r="D126" s="185"/>
      <c r="E126" s="185"/>
      <c r="F126" s="77"/>
      <c r="G126" s="77"/>
      <c r="H126" s="186"/>
      <c r="I126" s="33"/>
      <c r="J126" s="33"/>
      <c r="K126" s="160"/>
      <c r="L126" s="53"/>
      <c r="M126" s="187"/>
      <c r="N126" s="77"/>
      <c r="O126" s="77"/>
      <c r="P126" s="188"/>
      <c r="Q126" s="175"/>
      <c r="R126" s="175"/>
      <c r="S126" s="192"/>
      <c r="T126" s="40"/>
      <c r="U126" s="40"/>
      <c r="V126" s="53"/>
      <c r="W126" s="187"/>
      <c r="X126" s="77"/>
      <c r="Y126" s="77"/>
      <c r="Z126" s="188"/>
      <c r="AA126" s="175"/>
      <c r="AB126" s="175"/>
      <c r="AC126" s="192"/>
      <c r="AD126" s="40"/>
      <c r="AE126" s="40"/>
      <c r="AF126" s="53"/>
      <c r="AG126" s="187"/>
      <c r="AH126" s="77"/>
      <c r="AI126" s="77"/>
      <c r="AJ126" s="188"/>
      <c r="AK126" s="175"/>
      <c r="AL126" s="175"/>
      <c r="AM126" s="192"/>
      <c r="AN126" s="40"/>
      <c r="AO126" s="40"/>
      <c r="AP126" s="53"/>
      <c r="AQ126" s="187"/>
      <c r="AR126" s="77"/>
      <c r="AS126" s="77"/>
      <c r="AT126" s="188"/>
      <c r="AU126" s="175"/>
      <c r="AV126" s="175"/>
      <c r="AW126" s="192"/>
      <c r="AX126" s="40"/>
      <c r="AY126" s="40"/>
      <c r="AZ126" s="53"/>
      <c r="BA126" s="187"/>
      <c r="BB126" s="77"/>
      <c r="BC126" s="77"/>
      <c r="BD126" s="188"/>
      <c r="BE126" s="175"/>
      <c r="BF126" s="175"/>
      <c r="BG126" s="192"/>
      <c r="BH126" s="40"/>
      <c r="BI126" s="40"/>
      <c r="BJ126" s="53"/>
      <c r="BK126" s="187"/>
      <c r="BL126" s="77"/>
      <c r="BM126" s="77"/>
      <c r="BN126" s="188"/>
      <c r="BO126" s="175"/>
      <c r="BP126" s="175"/>
      <c r="BQ126" s="192"/>
      <c r="BR126" s="40"/>
      <c r="BS126" s="40"/>
      <c r="BT126" s="53"/>
      <c r="BU126" s="187"/>
      <c r="BV126" s="77"/>
      <c r="BW126" s="77"/>
      <c r="BX126" s="188"/>
      <c r="BY126" s="175"/>
      <c r="BZ126" s="175"/>
      <c r="CA126" s="192"/>
      <c r="CB126" s="40"/>
      <c r="CC126" s="40"/>
      <c r="CD126" s="53"/>
      <c r="CE126" s="187"/>
      <c r="CF126" s="77"/>
      <c r="CG126" s="77"/>
      <c r="CH126" s="188"/>
      <c r="CI126" s="175"/>
      <c r="CJ126" s="175"/>
      <c r="CK126" s="192"/>
      <c r="CL126" s="40"/>
      <c r="CM126" s="40"/>
      <c r="CN126" s="149"/>
      <c r="CO126" s="176"/>
      <c r="CP126" s="174"/>
      <c r="CQ126" s="174"/>
      <c r="CR126" s="176"/>
      <c r="CS126" s="176"/>
      <c r="CT126" s="176"/>
      <c r="CU126" s="136"/>
      <c r="CV126" s="137"/>
      <c r="CW126" s="137"/>
    </row>
    <row r="127" ht="15.75" customHeight="1">
      <c r="A127" s="50"/>
      <c r="B127" s="33">
        <v>99.0</v>
      </c>
      <c r="C127" s="33" t="s">
        <v>138</v>
      </c>
      <c r="D127" s="185"/>
      <c r="E127" s="185"/>
      <c r="F127" s="77"/>
      <c r="G127" s="77"/>
      <c r="H127" s="186"/>
      <c r="I127" s="33"/>
      <c r="J127" s="33"/>
      <c r="K127" s="160"/>
      <c r="L127" s="53"/>
      <c r="M127" s="187"/>
      <c r="N127" s="77"/>
      <c r="O127" s="77"/>
      <c r="P127" s="188"/>
      <c r="Q127" s="175"/>
      <c r="R127" s="175"/>
      <c r="S127" s="192"/>
      <c r="T127" s="40"/>
      <c r="U127" s="40"/>
      <c r="V127" s="53"/>
      <c r="W127" s="187"/>
      <c r="X127" s="77"/>
      <c r="Y127" s="77"/>
      <c r="Z127" s="188"/>
      <c r="AA127" s="175"/>
      <c r="AB127" s="175"/>
      <c r="AC127" s="192"/>
      <c r="AD127" s="40"/>
      <c r="AE127" s="40"/>
      <c r="AF127" s="53"/>
      <c r="AG127" s="187"/>
      <c r="AH127" s="77"/>
      <c r="AI127" s="77"/>
      <c r="AJ127" s="188"/>
      <c r="AK127" s="175"/>
      <c r="AL127" s="175"/>
      <c r="AM127" s="192"/>
      <c r="AN127" s="40"/>
      <c r="AO127" s="40"/>
      <c r="AP127" s="53"/>
      <c r="AQ127" s="187"/>
      <c r="AR127" s="77"/>
      <c r="AS127" s="77"/>
      <c r="AT127" s="188"/>
      <c r="AU127" s="175"/>
      <c r="AV127" s="175"/>
      <c r="AW127" s="192"/>
      <c r="AX127" s="40"/>
      <c r="AY127" s="40"/>
      <c r="AZ127" s="53"/>
      <c r="BA127" s="187"/>
      <c r="BB127" s="77"/>
      <c r="BC127" s="77"/>
      <c r="BD127" s="188"/>
      <c r="BE127" s="175"/>
      <c r="BF127" s="175"/>
      <c r="BG127" s="192"/>
      <c r="BH127" s="40"/>
      <c r="BI127" s="40"/>
      <c r="BJ127" s="53"/>
      <c r="BK127" s="187"/>
      <c r="BL127" s="77"/>
      <c r="BM127" s="77"/>
      <c r="BN127" s="188"/>
      <c r="BO127" s="175"/>
      <c r="BP127" s="175"/>
      <c r="BQ127" s="192"/>
      <c r="BR127" s="40"/>
      <c r="BS127" s="40"/>
      <c r="BT127" s="53"/>
      <c r="BU127" s="187"/>
      <c r="BV127" s="77"/>
      <c r="BW127" s="77"/>
      <c r="BX127" s="188"/>
      <c r="BY127" s="175"/>
      <c r="BZ127" s="175"/>
      <c r="CA127" s="192"/>
      <c r="CB127" s="40"/>
      <c r="CC127" s="40"/>
      <c r="CD127" s="53"/>
      <c r="CE127" s="187"/>
      <c r="CF127" s="77"/>
      <c r="CG127" s="77"/>
      <c r="CH127" s="188"/>
      <c r="CI127" s="175"/>
      <c r="CJ127" s="175"/>
      <c r="CK127" s="192"/>
      <c r="CL127" s="40"/>
      <c r="CM127" s="40"/>
      <c r="CN127" s="149"/>
      <c r="CO127" s="176"/>
      <c r="CP127" s="174"/>
      <c r="CQ127" s="174"/>
      <c r="CR127" s="176"/>
      <c r="CS127" s="176"/>
      <c r="CT127" s="176"/>
      <c r="CU127" s="136"/>
      <c r="CV127" s="137"/>
      <c r="CW127" s="137"/>
    </row>
    <row r="128" ht="15.75" customHeight="1">
      <c r="A128" s="50"/>
      <c r="B128" s="84">
        <v>100.0</v>
      </c>
      <c r="C128" s="84" t="s">
        <v>138</v>
      </c>
      <c r="D128" s="193"/>
      <c r="E128" s="193"/>
      <c r="F128" s="77"/>
      <c r="G128" s="77"/>
      <c r="H128" s="194"/>
      <c r="I128" s="84"/>
      <c r="J128" s="84"/>
      <c r="K128" s="160"/>
      <c r="L128" s="53"/>
      <c r="M128" s="195"/>
      <c r="N128" s="77"/>
      <c r="O128" s="77"/>
      <c r="P128" s="196"/>
      <c r="Q128" s="197"/>
      <c r="R128" s="197"/>
      <c r="S128" s="192"/>
      <c r="T128" s="40"/>
      <c r="U128" s="40"/>
      <c r="V128" s="53"/>
      <c r="W128" s="195"/>
      <c r="X128" s="77"/>
      <c r="Y128" s="77"/>
      <c r="Z128" s="196"/>
      <c r="AA128" s="197"/>
      <c r="AB128" s="197"/>
      <c r="AC128" s="192"/>
      <c r="AD128" s="40"/>
      <c r="AE128" s="40"/>
      <c r="AF128" s="53"/>
      <c r="AG128" s="195"/>
      <c r="AH128" s="77"/>
      <c r="AI128" s="77"/>
      <c r="AJ128" s="196"/>
      <c r="AK128" s="197"/>
      <c r="AL128" s="197"/>
      <c r="AM128" s="192"/>
      <c r="AN128" s="40"/>
      <c r="AO128" s="40"/>
      <c r="AP128" s="53"/>
      <c r="AQ128" s="195"/>
      <c r="AR128" s="77"/>
      <c r="AS128" s="77"/>
      <c r="AT128" s="196"/>
      <c r="AU128" s="197"/>
      <c r="AV128" s="197"/>
      <c r="AW128" s="192"/>
      <c r="AX128" s="40"/>
      <c r="AY128" s="40"/>
      <c r="AZ128" s="53"/>
      <c r="BA128" s="195"/>
      <c r="BB128" s="77"/>
      <c r="BC128" s="77"/>
      <c r="BD128" s="196"/>
      <c r="BE128" s="197"/>
      <c r="BF128" s="197"/>
      <c r="BG128" s="192"/>
      <c r="BH128" s="40"/>
      <c r="BI128" s="40"/>
      <c r="BJ128" s="53"/>
      <c r="BK128" s="195"/>
      <c r="BL128" s="77"/>
      <c r="BM128" s="77"/>
      <c r="BN128" s="196"/>
      <c r="BO128" s="197"/>
      <c r="BP128" s="197"/>
      <c r="BQ128" s="192"/>
      <c r="BR128" s="40"/>
      <c r="BS128" s="40"/>
      <c r="BT128" s="53"/>
      <c r="BU128" s="195"/>
      <c r="BV128" s="77"/>
      <c r="BW128" s="77"/>
      <c r="BX128" s="196"/>
      <c r="BY128" s="197"/>
      <c r="BZ128" s="197"/>
      <c r="CA128" s="192"/>
      <c r="CB128" s="40"/>
      <c r="CC128" s="40"/>
      <c r="CD128" s="53"/>
      <c r="CE128" s="195"/>
      <c r="CF128" s="77"/>
      <c r="CG128" s="77"/>
      <c r="CH128" s="196"/>
      <c r="CI128" s="197"/>
      <c r="CJ128" s="197"/>
      <c r="CK128" s="192"/>
      <c r="CL128" s="40"/>
      <c r="CM128" s="40"/>
      <c r="CN128" s="149"/>
      <c r="CO128" s="200"/>
      <c r="CP128" s="174"/>
      <c r="CQ128" s="174"/>
      <c r="CR128" s="200"/>
      <c r="CS128" s="200"/>
      <c r="CT128" s="200"/>
      <c r="CU128" s="136"/>
      <c r="CV128" s="137"/>
      <c r="CW128" s="137"/>
    </row>
    <row r="129" ht="15.75" customHeight="1">
      <c r="A129" s="50"/>
      <c r="B129" s="177">
        <v>101.0</v>
      </c>
      <c r="C129" s="177" t="s">
        <v>139</v>
      </c>
      <c r="D129" s="178"/>
      <c r="E129" s="178"/>
      <c r="F129" s="201"/>
      <c r="G129" s="201"/>
      <c r="H129" s="179"/>
      <c r="I129" s="177"/>
      <c r="J129" s="177"/>
      <c r="K129" s="160"/>
      <c r="L129" s="53"/>
      <c r="M129" s="180"/>
      <c r="N129" s="201"/>
      <c r="O129" s="201"/>
      <c r="P129" s="181"/>
      <c r="Q129" s="182"/>
      <c r="R129" s="182"/>
      <c r="S129" s="192">
        <v>0.0</v>
      </c>
      <c r="T129" s="40"/>
      <c r="U129" s="40"/>
      <c r="V129" s="53"/>
      <c r="W129" s="180"/>
      <c r="X129" s="201"/>
      <c r="Y129" s="201"/>
      <c r="Z129" s="181"/>
      <c r="AA129" s="182"/>
      <c r="AB129" s="182"/>
      <c r="AC129" s="192">
        <v>0.0</v>
      </c>
      <c r="AD129" s="40"/>
      <c r="AE129" s="40"/>
      <c r="AF129" s="53"/>
      <c r="AG129" s="180"/>
      <c r="AH129" s="201"/>
      <c r="AI129" s="201"/>
      <c r="AJ129" s="181"/>
      <c r="AK129" s="182"/>
      <c r="AL129" s="182"/>
      <c r="AM129" s="192">
        <v>0.0</v>
      </c>
      <c r="AN129" s="40"/>
      <c r="AO129" s="40"/>
      <c r="AP129" s="53"/>
      <c r="AQ129" s="180"/>
      <c r="AR129" s="201"/>
      <c r="AS129" s="201"/>
      <c r="AT129" s="181"/>
      <c r="AU129" s="182"/>
      <c r="AV129" s="182"/>
      <c r="AW129" s="192">
        <v>0.0</v>
      </c>
      <c r="AX129" s="40"/>
      <c r="AY129" s="40"/>
      <c r="AZ129" s="53"/>
      <c r="BA129" s="180"/>
      <c r="BB129" s="201"/>
      <c r="BC129" s="201"/>
      <c r="BD129" s="181"/>
      <c r="BE129" s="182"/>
      <c r="BF129" s="182"/>
      <c r="BG129" s="192">
        <v>0.0</v>
      </c>
      <c r="BH129" s="40"/>
      <c r="BI129" s="40"/>
      <c r="BJ129" s="53"/>
      <c r="BK129" s="180"/>
      <c r="BL129" s="201"/>
      <c r="BM129" s="201"/>
      <c r="BN129" s="181"/>
      <c r="BO129" s="182"/>
      <c r="BP129" s="182"/>
      <c r="BQ129" s="192">
        <v>0.0</v>
      </c>
      <c r="BR129" s="40"/>
      <c r="BS129" s="40"/>
      <c r="BT129" s="53"/>
      <c r="BU129" s="180"/>
      <c r="BV129" s="201"/>
      <c r="BW129" s="201"/>
      <c r="BX129" s="181"/>
      <c r="BY129" s="182"/>
      <c r="BZ129" s="182"/>
      <c r="CA129" s="192">
        <v>0.0</v>
      </c>
      <c r="CB129" s="40"/>
      <c r="CC129" s="40"/>
      <c r="CD129" s="53"/>
      <c r="CE129" s="180"/>
      <c r="CF129" s="201"/>
      <c r="CG129" s="201"/>
      <c r="CH129" s="181"/>
      <c r="CI129" s="182"/>
      <c r="CJ129" s="182"/>
      <c r="CK129" s="192">
        <v>0.0</v>
      </c>
      <c r="CL129" s="40"/>
      <c r="CM129" s="40"/>
      <c r="CN129" s="149"/>
      <c r="CO129" s="184"/>
      <c r="CP129" s="202"/>
      <c r="CQ129" s="202"/>
      <c r="CR129" s="184"/>
      <c r="CS129" s="184"/>
      <c r="CT129" s="184"/>
      <c r="CU129" s="203">
        <v>0.0</v>
      </c>
      <c r="CV129" s="137"/>
      <c r="CW129" s="137"/>
    </row>
    <row r="130" ht="15.75" customHeight="1">
      <c r="A130" s="50"/>
      <c r="B130" s="84">
        <v>102.0</v>
      </c>
      <c r="C130" s="84" t="s">
        <v>139</v>
      </c>
      <c r="D130" s="193"/>
      <c r="E130" s="193"/>
      <c r="F130" s="77"/>
      <c r="G130" s="77"/>
      <c r="H130" s="194"/>
      <c r="I130" s="84"/>
      <c r="J130" s="84"/>
      <c r="K130" s="160"/>
      <c r="L130" s="53"/>
      <c r="M130" s="195"/>
      <c r="N130" s="77"/>
      <c r="O130" s="77"/>
      <c r="P130" s="196"/>
      <c r="Q130" s="197"/>
      <c r="R130" s="197"/>
      <c r="S130" s="192">
        <v>0.0</v>
      </c>
      <c r="T130" s="40"/>
      <c r="U130" s="40"/>
      <c r="V130" s="53"/>
      <c r="W130" s="195"/>
      <c r="X130" s="77"/>
      <c r="Y130" s="77"/>
      <c r="Z130" s="196"/>
      <c r="AA130" s="197"/>
      <c r="AB130" s="197"/>
      <c r="AC130" s="192">
        <v>0.0</v>
      </c>
      <c r="AD130" s="40"/>
      <c r="AE130" s="40"/>
      <c r="AF130" s="53"/>
      <c r="AG130" s="195"/>
      <c r="AH130" s="77"/>
      <c r="AI130" s="77"/>
      <c r="AJ130" s="196"/>
      <c r="AK130" s="197"/>
      <c r="AL130" s="197"/>
      <c r="AM130" s="192">
        <v>0.0</v>
      </c>
      <c r="AN130" s="40"/>
      <c r="AO130" s="40"/>
      <c r="AP130" s="53"/>
      <c r="AQ130" s="195"/>
      <c r="AR130" s="77"/>
      <c r="AS130" s="77"/>
      <c r="AT130" s="196"/>
      <c r="AU130" s="197"/>
      <c r="AV130" s="197"/>
      <c r="AW130" s="192">
        <v>0.0</v>
      </c>
      <c r="AX130" s="40"/>
      <c r="AY130" s="40"/>
      <c r="AZ130" s="53"/>
      <c r="BA130" s="195"/>
      <c r="BB130" s="77"/>
      <c r="BC130" s="77"/>
      <c r="BD130" s="196"/>
      <c r="BE130" s="197"/>
      <c r="BF130" s="197"/>
      <c r="BG130" s="192">
        <v>0.0</v>
      </c>
      <c r="BH130" s="40"/>
      <c r="BI130" s="40"/>
      <c r="BJ130" s="53"/>
      <c r="BK130" s="195"/>
      <c r="BL130" s="77"/>
      <c r="BM130" s="77"/>
      <c r="BN130" s="196"/>
      <c r="BO130" s="197"/>
      <c r="BP130" s="197"/>
      <c r="BQ130" s="192">
        <v>0.0</v>
      </c>
      <c r="BR130" s="40"/>
      <c r="BS130" s="40"/>
      <c r="BT130" s="53"/>
      <c r="BU130" s="195"/>
      <c r="BV130" s="77"/>
      <c r="BW130" s="77"/>
      <c r="BX130" s="196"/>
      <c r="BY130" s="197"/>
      <c r="BZ130" s="197"/>
      <c r="CA130" s="192">
        <v>0.0</v>
      </c>
      <c r="CB130" s="40"/>
      <c r="CC130" s="40"/>
      <c r="CD130" s="53"/>
      <c r="CE130" s="195"/>
      <c r="CF130" s="77"/>
      <c r="CG130" s="77"/>
      <c r="CH130" s="196"/>
      <c r="CI130" s="197"/>
      <c r="CJ130" s="197"/>
      <c r="CK130" s="192">
        <v>0.0</v>
      </c>
      <c r="CL130" s="40"/>
      <c r="CM130" s="40"/>
      <c r="CN130" s="149"/>
      <c r="CO130" s="200"/>
      <c r="CP130" s="174"/>
      <c r="CQ130" s="174"/>
      <c r="CR130" s="200"/>
      <c r="CS130" s="200"/>
      <c r="CT130" s="200"/>
      <c r="CU130" s="203">
        <v>0.0</v>
      </c>
      <c r="CV130" s="137"/>
      <c r="CW130" s="137"/>
    </row>
    <row r="131" ht="15.75" customHeight="1">
      <c r="A131" s="50"/>
      <c r="B131" s="204">
        <v>103.0</v>
      </c>
      <c r="C131" s="204" t="s">
        <v>46</v>
      </c>
      <c r="D131" s="205"/>
      <c r="E131" s="205"/>
      <c r="F131" s="77"/>
      <c r="G131" s="77"/>
      <c r="H131" s="206"/>
      <c r="I131" s="204"/>
      <c r="J131" s="204"/>
      <c r="K131" s="160"/>
      <c r="L131" s="53"/>
      <c r="M131" s="207"/>
      <c r="N131" s="77"/>
      <c r="O131" s="77"/>
      <c r="P131" s="208"/>
      <c r="Q131" s="209"/>
      <c r="R131" s="209"/>
      <c r="S131" s="192">
        <v>0.0</v>
      </c>
      <c r="T131" s="40"/>
      <c r="U131" s="40"/>
      <c r="V131" s="53"/>
      <c r="W131" s="207"/>
      <c r="X131" s="77"/>
      <c r="Y131" s="77"/>
      <c r="Z131" s="208"/>
      <c r="AA131" s="209"/>
      <c r="AB131" s="209"/>
      <c r="AC131" s="192">
        <v>0.0</v>
      </c>
      <c r="AD131" s="40"/>
      <c r="AE131" s="40"/>
      <c r="AF131" s="53"/>
      <c r="AG131" s="207"/>
      <c r="AH131" s="77"/>
      <c r="AI131" s="77"/>
      <c r="AJ131" s="208"/>
      <c r="AK131" s="209"/>
      <c r="AL131" s="209"/>
      <c r="AM131" s="192">
        <v>0.0</v>
      </c>
      <c r="AN131" s="40"/>
      <c r="AO131" s="40"/>
      <c r="AP131" s="53"/>
      <c r="AQ131" s="207"/>
      <c r="AR131" s="77"/>
      <c r="AS131" s="77"/>
      <c r="AT131" s="208"/>
      <c r="AU131" s="209"/>
      <c r="AV131" s="209"/>
      <c r="AW131" s="192">
        <v>0.0</v>
      </c>
      <c r="AX131" s="40"/>
      <c r="AY131" s="40"/>
      <c r="AZ131" s="53"/>
      <c r="BA131" s="207"/>
      <c r="BB131" s="77"/>
      <c r="BC131" s="77"/>
      <c r="BD131" s="208"/>
      <c r="BE131" s="209"/>
      <c r="BF131" s="209"/>
      <c r="BG131" s="192">
        <v>0.0</v>
      </c>
      <c r="BH131" s="40"/>
      <c r="BI131" s="40"/>
      <c r="BJ131" s="53"/>
      <c r="BK131" s="207"/>
      <c r="BL131" s="77"/>
      <c r="BM131" s="77"/>
      <c r="BN131" s="208"/>
      <c r="BO131" s="209"/>
      <c r="BP131" s="209"/>
      <c r="BQ131" s="192">
        <v>0.0</v>
      </c>
      <c r="BR131" s="40"/>
      <c r="BS131" s="40"/>
      <c r="BT131" s="53"/>
      <c r="BU131" s="207"/>
      <c r="BV131" s="77"/>
      <c r="BW131" s="77"/>
      <c r="BX131" s="208"/>
      <c r="BY131" s="209"/>
      <c r="BZ131" s="209"/>
      <c r="CA131" s="192">
        <v>0.0</v>
      </c>
      <c r="CB131" s="40"/>
      <c r="CC131" s="40"/>
      <c r="CD131" s="53"/>
      <c r="CE131" s="207"/>
      <c r="CF131" s="77"/>
      <c r="CG131" s="77"/>
      <c r="CH131" s="208"/>
      <c r="CI131" s="209"/>
      <c r="CJ131" s="209"/>
      <c r="CK131" s="192">
        <v>0.0</v>
      </c>
      <c r="CL131" s="40"/>
      <c r="CM131" s="40"/>
      <c r="CN131" s="149"/>
      <c r="CO131" s="210"/>
      <c r="CP131" s="174"/>
      <c r="CQ131" s="174"/>
      <c r="CR131" s="210"/>
      <c r="CS131" s="210"/>
      <c r="CT131" s="210"/>
      <c r="CU131" s="203">
        <v>0.0</v>
      </c>
      <c r="CV131" s="137"/>
      <c r="CW131" s="137"/>
    </row>
    <row r="132" ht="15.75" customHeight="1">
      <c r="A132" s="50"/>
      <c r="B132" s="51"/>
      <c r="C132" s="51"/>
      <c r="D132" s="185"/>
      <c r="E132" s="185"/>
      <c r="F132" s="51"/>
      <c r="G132" s="51"/>
      <c r="H132" s="51"/>
      <c r="I132" s="51"/>
      <c r="J132" s="51"/>
      <c r="K132" s="160"/>
      <c r="L132" s="64"/>
      <c r="M132" s="54"/>
      <c r="N132" s="55"/>
      <c r="O132" s="55"/>
      <c r="P132" s="54"/>
      <c r="Q132" s="54"/>
      <c r="R132" s="54"/>
      <c r="S132" s="16"/>
      <c r="T132" s="55"/>
      <c r="U132" s="70"/>
      <c r="V132" s="64"/>
      <c r="W132" s="54"/>
      <c r="X132" s="55"/>
      <c r="Y132" s="55"/>
      <c r="Z132" s="54"/>
      <c r="AA132" s="54"/>
      <c r="AB132" s="54"/>
      <c r="AC132" s="16"/>
      <c r="AD132" s="55"/>
      <c r="AE132" s="70"/>
      <c r="AF132" s="64"/>
      <c r="AG132" s="54"/>
      <c r="AH132" s="55"/>
      <c r="AI132" s="55"/>
      <c r="AJ132" s="54"/>
      <c r="AK132" s="54"/>
      <c r="AL132" s="54"/>
      <c r="AM132" s="16"/>
      <c r="AN132" s="55"/>
      <c r="AO132" s="70"/>
      <c r="AP132" s="64"/>
      <c r="AQ132" s="54"/>
      <c r="AR132" s="55"/>
      <c r="AS132" s="55"/>
      <c r="AT132" s="54"/>
      <c r="AU132" s="54"/>
      <c r="AV132" s="54"/>
      <c r="AW132" s="16"/>
      <c r="AX132" s="55"/>
      <c r="AY132" s="70"/>
      <c r="AZ132" s="64"/>
      <c r="BA132" s="54"/>
      <c r="BB132" s="55"/>
      <c r="BC132" s="55"/>
      <c r="BD132" s="54"/>
      <c r="BE132" s="54"/>
      <c r="BF132" s="54"/>
      <c r="BG132" s="16"/>
      <c r="BH132" s="55"/>
      <c r="BI132" s="70"/>
      <c r="BJ132" s="64"/>
      <c r="BK132" s="54"/>
      <c r="BL132" s="55"/>
      <c r="BM132" s="55"/>
      <c r="BN132" s="54"/>
      <c r="BO132" s="54"/>
      <c r="BP132" s="54"/>
      <c r="BQ132" s="16"/>
      <c r="BR132" s="55"/>
      <c r="BS132" s="70"/>
      <c r="BT132" s="64"/>
      <c r="BU132" s="54"/>
      <c r="BV132" s="55"/>
      <c r="BW132" s="55"/>
      <c r="BX132" s="54"/>
      <c r="BY132" s="54"/>
      <c r="BZ132" s="54"/>
      <c r="CA132" s="16"/>
      <c r="CB132" s="55"/>
      <c r="CC132" s="70"/>
      <c r="CD132" s="64"/>
      <c r="CE132" s="54"/>
      <c r="CF132" s="55"/>
      <c r="CG132" s="55"/>
      <c r="CH132" s="54"/>
      <c r="CI132" s="54"/>
      <c r="CJ132" s="54"/>
      <c r="CK132" s="16"/>
      <c r="CL132" s="55"/>
      <c r="CM132" s="70"/>
      <c r="CN132" s="72"/>
      <c r="CO132" s="21"/>
      <c r="CP132" s="21"/>
      <c r="CQ132" s="21"/>
      <c r="CR132" s="21"/>
      <c r="CS132" s="21"/>
      <c r="CT132" s="21"/>
      <c r="CU132" s="21"/>
      <c r="CV132" s="21"/>
      <c r="CW132" s="76"/>
    </row>
    <row r="133" ht="15.75" customHeight="1">
      <c r="A133" s="50"/>
      <c r="B133" s="51"/>
      <c r="C133" s="51"/>
      <c r="D133" s="51"/>
      <c r="E133" s="51"/>
      <c r="F133" s="51"/>
      <c r="G133" s="51"/>
      <c r="H133" s="51"/>
      <c r="I133" s="51"/>
      <c r="J133" s="51"/>
      <c r="K133" s="160"/>
      <c r="L133" s="54"/>
      <c r="M133" s="54"/>
      <c r="N133" s="55"/>
      <c r="O133" s="55"/>
      <c r="P133" s="54"/>
      <c r="Q133" s="54"/>
      <c r="R133" s="54"/>
      <c r="S133" s="16"/>
      <c r="T133" s="55"/>
      <c r="U133" s="70"/>
      <c r="V133" s="54"/>
      <c r="W133" s="54"/>
      <c r="X133" s="55"/>
      <c r="Y133" s="55"/>
      <c r="Z133" s="54"/>
      <c r="AA133" s="54"/>
      <c r="AB133" s="54"/>
      <c r="AC133" s="16"/>
      <c r="AD133" s="55"/>
      <c r="AE133" s="70"/>
      <c r="AF133" s="54"/>
      <c r="AG133" s="54"/>
      <c r="AH133" s="55"/>
      <c r="AI133" s="55"/>
      <c r="AJ133" s="54"/>
      <c r="AK133" s="54"/>
      <c r="AL133" s="54"/>
      <c r="AM133" s="16"/>
      <c r="AN133" s="55"/>
      <c r="AO133" s="70"/>
      <c r="AP133" s="54"/>
      <c r="AQ133" s="54"/>
      <c r="AR133" s="55"/>
      <c r="AS133" s="55"/>
      <c r="AT133" s="54"/>
      <c r="AU133" s="54"/>
      <c r="AV133" s="54"/>
      <c r="AW133" s="16"/>
      <c r="AX133" s="55"/>
      <c r="AY133" s="70"/>
      <c r="AZ133" s="54"/>
      <c r="BA133" s="54"/>
      <c r="BB133" s="55"/>
      <c r="BC133" s="55"/>
      <c r="BD133" s="54"/>
      <c r="BE133" s="54"/>
      <c r="BF133" s="54"/>
      <c r="BG133" s="16"/>
      <c r="BH133" s="55"/>
      <c r="BI133" s="70"/>
      <c r="BJ133" s="54"/>
      <c r="BK133" s="54"/>
      <c r="BL133" s="55"/>
      <c r="BM133" s="55"/>
      <c r="BN133" s="54"/>
      <c r="BO133" s="54"/>
      <c r="BP133" s="54"/>
      <c r="BQ133" s="16"/>
      <c r="BR133" s="55"/>
      <c r="BS133" s="70"/>
      <c r="BT133" s="54"/>
      <c r="BU133" s="54"/>
      <c r="BV133" s="55"/>
      <c r="BW133" s="55"/>
      <c r="BX133" s="54"/>
      <c r="BY133" s="54"/>
      <c r="BZ133" s="54"/>
      <c r="CA133" s="16"/>
      <c r="CB133" s="55"/>
      <c r="CC133" s="70"/>
      <c r="CD133" s="54"/>
      <c r="CE133" s="54"/>
      <c r="CF133" s="55"/>
      <c r="CG133" s="55"/>
      <c r="CH133" s="54"/>
      <c r="CI133" s="54"/>
      <c r="CJ133" s="54"/>
      <c r="CK133" s="16"/>
      <c r="CL133" s="55"/>
      <c r="CM133" s="70"/>
      <c r="CN133" s="21"/>
      <c r="CO133" s="21"/>
      <c r="CP133" s="21"/>
      <c r="CQ133" s="21"/>
      <c r="CR133" s="21"/>
      <c r="CS133" s="21"/>
      <c r="CT133" s="21"/>
      <c r="CU133" s="21"/>
      <c r="CV133" s="21"/>
      <c r="CW133" s="76"/>
    </row>
    <row r="134" ht="15.75" customHeight="1">
      <c r="A134" s="50"/>
      <c r="B134" s="211" t="s">
        <v>140</v>
      </c>
      <c r="C134" s="212"/>
      <c r="D134" s="213"/>
      <c r="E134" s="214"/>
      <c r="F134" s="214"/>
      <c r="G134" s="214"/>
      <c r="H134" s="214"/>
      <c r="I134" s="214"/>
      <c r="J134" s="212"/>
      <c r="K134" s="215"/>
      <c r="L134" s="216"/>
      <c r="M134" s="217" t="s">
        <v>140</v>
      </c>
      <c r="N134" s="218" t="s">
        <v>57</v>
      </c>
      <c r="O134" s="118"/>
      <c r="P134" s="118"/>
      <c r="Q134" s="118"/>
      <c r="R134" s="118"/>
      <c r="S134" s="117"/>
      <c r="T134" s="219"/>
      <c r="U134" s="220"/>
      <c r="V134" s="216"/>
      <c r="W134" s="217" t="s">
        <v>140</v>
      </c>
      <c r="X134" s="218" t="s">
        <v>57</v>
      </c>
      <c r="Y134" s="118"/>
      <c r="Z134" s="118"/>
      <c r="AA134" s="118"/>
      <c r="AB134" s="118"/>
      <c r="AC134" s="117"/>
      <c r="AD134" s="219"/>
      <c r="AE134" s="220"/>
      <c r="AF134" s="216"/>
      <c r="AG134" s="217" t="s">
        <v>140</v>
      </c>
      <c r="AH134" s="218" t="s">
        <v>72</v>
      </c>
      <c r="AI134" s="118"/>
      <c r="AJ134" s="118"/>
      <c r="AK134" s="118"/>
      <c r="AL134" s="118"/>
      <c r="AM134" s="117"/>
      <c r="AN134" s="219"/>
      <c r="AO134" s="220"/>
      <c r="AP134" s="216"/>
      <c r="AQ134" s="217" t="s">
        <v>140</v>
      </c>
      <c r="AR134" s="218" t="s">
        <v>57</v>
      </c>
      <c r="AS134" s="118"/>
      <c r="AT134" s="118"/>
      <c r="AU134" s="118"/>
      <c r="AV134" s="118"/>
      <c r="AW134" s="117"/>
      <c r="AX134" s="219"/>
      <c r="AY134" s="220"/>
      <c r="AZ134" s="216"/>
      <c r="BA134" s="217" t="s">
        <v>140</v>
      </c>
      <c r="BB134" s="218" t="s">
        <v>57</v>
      </c>
      <c r="BC134" s="118"/>
      <c r="BD134" s="118"/>
      <c r="BE134" s="118"/>
      <c r="BF134" s="118"/>
      <c r="BG134" s="117"/>
      <c r="BH134" s="219"/>
      <c r="BI134" s="220"/>
      <c r="BJ134" s="216"/>
      <c r="BK134" s="217" t="s">
        <v>140</v>
      </c>
      <c r="BL134" s="218" t="s">
        <v>47</v>
      </c>
      <c r="BM134" s="118"/>
      <c r="BN134" s="118"/>
      <c r="BO134" s="118"/>
      <c r="BP134" s="118"/>
      <c r="BQ134" s="117"/>
      <c r="BR134" s="219"/>
      <c r="BS134" s="220"/>
      <c r="BT134" s="216"/>
      <c r="BU134" s="217" t="s">
        <v>140</v>
      </c>
      <c r="BV134" s="218" t="s">
        <v>47</v>
      </c>
      <c r="BW134" s="118"/>
      <c r="BX134" s="118"/>
      <c r="BY134" s="118"/>
      <c r="BZ134" s="118"/>
      <c r="CA134" s="117"/>
      <c r="CB134" s="219"/>
      <c r="CC134" s="220"/>
      <c r="CD134" s="216"/>
      <c r="CE134" s="217" t="s">
        <v>140</v>
      </c>
      <c r="CF134" s="218" t="s">
        <v>72</v>
      </c>
      <c r="CG134" s="118"/>
      <c r="CH134" s="118"/>
      <c r="CI134" s="118"/>
      <c r="CJ134" s="118"/>
      <c r="CK134" s="117"/>
      <c r="CL134" s="219"/>
      <c r="CM134" s="220"/>
      <c r="CN134" s="221"/>
      <c r="CO134" s="222" t="s">
        <v>140</v>
      </c>
      <c r="CP134" s="223"/>
      <c r="CQ134" s="118"/>
      <c r="CR134" s="118"/>
      <c r="CS134" s="118"/>
      <c r="CT134" s="118"/>
      <c r="CU134" s="117"/>
      <c r="CV134" s="224"/>
      <c r="CW134" s="220"/>
    </row>
    <row r="135" ht="15.75" customHeight="1">
      <c r="A135" s="225"/>
      <c r="B135" s="211" t="s">
        <v>141</v>
      </c>
      <c r="C135" s="212"/>
      <c r="D135" s="213"/>
      <c r="E135" s="214"/>
      <c r="F135" s="214"/>
      <c r="G135" s="214"/>
      <c r="H135" s="214"/>
      <c r="I135" s="214"/>
      <c r="J135" s="212"/>
      <c r="K135" s="226"/>
      <c r="L135" s="16"/>
      <c r="M135" s="217" t="s">
        <v>141</v>
      </c>
      <c r="N135" s="218" t="s">
        <v>142</v>
      </c>
      <c r="O135" s="118"/>
      <c r="P135" s="118"/>
      <c r="Q135" s="118"/>
      <c r="R135" s="118"/>
      <c r="S135" s="117"/>
      <c r="T135" s="227"/>
      <c r="U135" s="228"/>
      <c r="V135" s="16"/>
      <c r="W135" s="217" t="s">
        <v>141</v>
      </c>
      <c r="X135" s="218" t="s">
        <v>143</v>
      </c>
      <c r="Y135" s="118"/>
      <c r="Z135" s="118"/>
      <c r="AA135" s="118"/>
      <c r="AB135" s="118"/>
      <c r="AC135" s="117"/>
      <c r="AD135" s="227"/>
      <c r="AE135" s="228"/>
      <c r="AF135" s="16"/>
      <c r="AG135" s="217" t="s">
        <v>141</v>
      </c>
      <c r="AH135" s="218" t="s">
        <v>144</v>
      </c>
      <c r="AI135" s="118"/>
      <c r="AJ135" s="118"/>
      <c r="AK135" s="118"/>
      <c r="AL135" s="118"/>
      <c r="AM135" s="117"/>
      <c r="AN135" s="227"/>
      <c r="AO135" s="228"/>
      <c r="AP135" s="16"/>
      <c r="AQ135" s="217" t="s">
        <v>141</v>
      </c>
      <c r="AR135" s="218" t="s">
        <v>145</v>
      </c>
      <c r="AS135" s="118"/>
      <c r="AT135" s="118"/>
      <c r="AU135" s="118"/>
      <c r="AV135" s="118"/>
      <c r="AW135" s="117"/>
      <c r="AX135" s="227"/>
      <c r="AY135" s="228"/>
      <c r="AZ135" s="16"/>
      <c r="BA135" s="217" t="s">
        <v>141</v>
      </c>
      <c r="BB135" s="218" t="s">
        <v>145</v>
      </c>
      <c r="BC135" s="118"/>
      <c r="BD135" s="118"/>
      <c r="BE135" s="118"/>
      <c r="BF135" s="118"/>
      <c r="BG135" s="117"/>
      <c r="BH135" s="227"/>
      <c r="BI135" s="228"/>
      <c r="BJ135" s="16"/>
      <c r="BK135" s="217" t="s">
        <v>141</v>
      </c>
      <c r="BL135" s="218" t="s">
        <v>142</v>
      </c>
      <c r="BM135" s="118"/>
      <c r="BN135" s="118"/>
      <c r="BO135" s="118"/>
      <c r="BP135" s="118"/>
      <c r="BQ135" s="117"/>
      <c r="BR135" s="227"/>
      <c r="BS135" s="228"/>
      <c r="BT135" s="16"/>
      <c r="BU135" s="217" t="s">
        <v>141</v>
      </c>
      <c r="BV135" s="218" t="s">
        <v>144</v>
      </c>
      <c r="BW135" s="118"/>
      <c r="BX135" s="118"/>
      <c r="BY135" s="118"/>
      <c r="BZ135" s="118"/>
      <c r="CA135" s="117"/>
      <c r="CB135" s="227"/>
      <c r="CC135" s="228"/>
      <c r="CD135" s="16"/>
      <c r="CE135" s="217" t="s">
        <v>141</v>
      </c>
      <c r="CF135" s="218" t="s">
        <v>142</v>
      </c>
      <c r="CG135" s="118"/>
      <c r="CH135" s="118"/>
      <c r="CI135" s="118"/>
      <c r="CJ135" s="118"/>
      <c r="CK135" s="117"/>
      <c r="CL135" s="227"/>
      <c r="CM135" s="228"/>
      <c r="CN135" s="21"/>
      <c r="CO135" s="222" t="s">
        <v>141</v>
      </c>
      <c r="CP135" s="223"/>
      <c r="CQ135" s="118"/>
      <c r="CR135" s="118"/>
      <c r="CS135" s="118"/>
      <c r="CT135" s="118"/>
      <c r="CU135" s="117"/>
      <c r="CV135" s="227"/>
      <c r="CW135" s="228"/>
    </row>
    <row r="136" ht="15.75" hidden="1" customHeight="1">
      <c r="CD136" s="4"/>
      <c r="CE136" s="2"/>
      <c r="CF136" s="2"/>
      <c r="CG136" s="2"/>
      <c r="CH136" s="2"/>
      <c r="CI136" s="5"/>
      <c r="CJ136" s="5"/>
      <c r="CK136" s="5"/>
      <c r="CL136" s="5"/>
      <c r="CM136" s="6"/>
      <c r="CN136" s="229"/>
      <c r="CO136" s="229"/>
      <c r="CP136" s="229"/>
      <c r="CQ136" s="229"/>
      <c r="CR136" s="229"/>
      <c r="CS136" s="229"/>
      <c r="CT136" s="229"/>
      <c r="CU136" s="229"/>
      <c r="CV136" s="229"/>
      <c r="CW136" s="229"/>
    </row>
    <row r="137" ht="15.75" hidden="1" customHeight="1">
      <c r="CD137" s="11"/>
      <c r="CI137" s="12"/>
      <c r="CJ137" s="12"/>
      <c r="CK137" s="12"/>
      <c r="CL137" s="13"/>
      <c r="CM137" s="14"/>
      <c r="CN137" s="229"/>
      <c r="CO137" s="229"/>
      <c r="CP137" s="229"/>
      <c r="CQ137" s="229"/>
      <c r="CR137" s="229"/>
      <c r="CS137" s="229"/>
      <c r="CT137" s="229"/>
      <c r="CU137" s="229"/>
      <c r="CV137" s="229"/>
      <c r="CW137" s="229"/>
    </row>
    <row r="138" ht="15.75" hidden="1" customHeight="1">
      <c r="CD138" s="17"/>
      <c r="CE138" s="18"/>
      <c r="CF138" s="18"/>
      <c r="CG138" s="18"/>
      <c r="CH138" s="18"/>
      <c r="CI138" s="18"/>
      <c r="CJ138" s="18"/>
      <c r="CK138" s="18"/>
      <c r="CL138" s="18"/>
      <c r="CM138" s="18"/>
      <c r="CN138" s="229"/>
      <c r="CO138" s="229"/>
      <c r="CP138" s="229"/>
      <c r="CQ138" s="229"/>
      <c r="CR138" s="229"/>
      <c r="CS138" s="229"/>
      <c r="CT138" s="229"/>
      <c r="CU138" s="229"/>
      <c r="CV138" s="229"/>
      <c r="CW138" s="229"/>
    </row>
    <row r="139" ht="15.75" hidden="1" customHeight="1">
      <c r="CD139" s="23"/>
      <c r="CE139" s="24"/>
      <c r="CF139" s="28"/>
      <c r="CG139" s="26"/>
      <c r="CH139" s="26"/>
      <c r="CI139" s="26"/>
      <c r="CJ139" s="26"/>
      <c r="CK139" s="27"/>
      <c r="CL139" s="27"/>
      <c r="CM139" s="27"/>
      <c r="CN139" s="229"/>
      <c r="CO139" s="229"/>
      <c r="CP139" s="229"/>
      <c r="CQ139" s="229"/>
      <c r="CR139" s="229"/>
      <c r="CS139" s="229"/>
      <c r="CT139" s="229"/>
      <c r="CU139" s="229"/>
      <c r="CV139" s="229"/>
      <c r="CW139" s="229"/>
    </row>
    <row r="140" ht="15.75" hidden="1" customHeight="1">
      <c r="CD140" s="23"/>
      <c r="CE140" s="26"/>
      <c r="CF140" s="39"/>
      <c r="CG140" s="26"/>
      <c r="CH140" s="26"/>
      <c r="CI140" s="26"/>
      <c r="CJ140" s="26"/>
      <c r="CK140" s="40"/>
      <c r="CL140" s="40"/>
      <c r="CM140" s="40"/>
      <c r="CN140" s="229"/>
      <c r="CO140" s="229"/>
      <c r="CP140" s="229"/>
      <c r="CQ140" s="229"/>
      <c r="CR140" s="229"/>
      <c r="CS140" s="229"/>
      <c r="CT140" s="229"/>
      <c r="CU140" s="229"/>
      <c r="CV140" s="229"/>
      <c r="CW140" s="229"/>
    </row>
    <row r="141" ht="15.75" hidden="1" customHeight="1">
      <c r="CD141" s="45"/>
      <c r="CE141" s="46"/>
      <c r="CF141" s="46"/>
      <c r="CG141" s="46"/>
      <c r="CH141" s="46"/>
      <c r="CI141" s="46"/>
      <c r="CJ141" s="46"/>
      <c r="CK141" s="46"/>
      <c r="CL141" s="47"/>
      <c r="CM141" s="47"/>
      <c r="CN141" s="229"/>
      <c r="CO141" s="229"/>
      <c r="CP141" s="229"/>
      <c r="CQ141" s="229"/>
      <c r="CR141" s="229"/>
      <c r="CS141" s="229"/>
      <c r="CT141" s="229"/>
      <c r="CU141" s="229"/>
      <c r="CV141" s="229"/>
      <c r="CW141" s="229"/>
    </row>
    <row r="142" ht="15.75" hidden="1" customHeight="1">
      <c r="CD142" s="53"/>
      <c r="CE142" s="54"/>
      <c r="CF142" s="54"/>
      <c r="CG142" s="54"/>
      <c r="CH142" s="54"/>
      <c r="CI142" s="54"/>
      <c r="CJ142" s="54"/>
      <c r="CK142" s="54"/>
      <c r="CL142" s="55"/>
      <c r="CM142" s="56"/>
      <c r="CN142" s="229"/>
      <c r="CO142" s="229"/>
      <c r="CP142" s="229"/>
      <c r="CQ142" s="229"/>
      <c r="CR142" s="229"/>
      <c r="CS142" s="229"/>
      <c r="CT142" s="229"/>
      <c r="CU142" s="229"/>
      <c r="CV142" s="229"/>
      <c r="CW142" s="229"/>
    </row>
    <row r="143" ht="15.75" hidden="1" customHeight="1">
      <c r="CD143" s="64"/>
      <c r="CE143" s="65"/>
      <c r="CF143" s="62"/>
      <c r="CG143" s="62"/>
      <c r="CH143" s="66"/>
      <c r="CI143" s="54"/>
      <c r="CJ143" s="54"/>
      <c r="CK143" s="71"/>
      <c r="CL143" s="68"/>
      <c r="CM143" s="70"/>
      <c r="CN143" s="229"/>
      <c r="CO143" s="229"/>
      <c r="CP143" s="229"/>
      <c r="CQ143" s="229"/>
      <c r="CR143" s="229"/>
      <c r="CS143" s="229"/>
      <c r="CT143" s="229"/>
      <c r="CU143" s="229"/>
      <c r="CV143" s="229"/>
      <c r="CW143" s="229"/>
    </row>
    <row r="144" ht="15.75" hidden="1" customHeight="1">
      <c r="CD144" s="64"/>
      <c r="CE144" s="65"/>
      <c r="CF144" s="62"/>
      <c r="CG144" s="62"/>
      <c r="CH144" s="66"/>
      <c r="CI144" s="54"/>
      <c r="CJ144" s="54"/>
      <c r="CK144" s="67"/>
      <c r="CL144" s="78"/>
      <c r="CM144" s="70"/>
      <c r="CN144" s="229"/>
      <c r="CO144" s="229"/>
      <c r="CP144" s="229"/>
      <c r="CQ144" s="229"/>
      <c r="CR144" s="229"/>
      <c r="CS144" s="229"/>
      <c r="CT144" s="229"/>
      <c r="CU144" s="229"/>
      <c r="CV144" s="229"/>
      <c r="CW144" s="229"/>
    </row>
    <row r="145" ht="15.75" hidden="1" customHeight="1">
      <c r="CD145" s="64"/>
      <c r="CE145" s="65"/>
      <c r="CF145" s="62"/>
      <c r="CG145" s="62"/>
      <c r="CH145" s="66"/>
      <c r="CI145" s="54"/>
      <c r="CJ145" s="54"/>
      <c r="CK145" s="67"/>
      <c r="CL145" s="78"/>
      <c r="CM145" s="70"/>
      <c r="CN145" s="229"/>
      <c r="CO145" s="229"/>
      <c r="CP145" s="229"/>
      <c r="CQ145" s="229"/>
      <c r="CR145" s="229"/>
      <c r="CS145" s="229"/>
      <c r="CT145" s="229"/>
      <c r="CU145" s="229"/>
      <c r="CV145" s="229"/>
      <c r="CW145" s="229"/>
    </row>
    <row r="146" ht="15.75" hidden="1" customHeight="1">
      <c r="CD146" s="64"/>
      <c r="CE146" s="65"/>
      <c r="CF146" s="62"/>
      <c r="CG146" s="62"/>
      <c r="CH146" s="66"/>
      <c r="CI146" s="54"/>
      <c r="CJ146" s="54"/>
      <c r="CK146" s="67"/>
      <c r="CL146" s="78"/>
      <c r="CM146" s="70"/>
      <c r="CN146" s="229"/>
      <c r="CO146" s="229"/>
      <c r="CP146" s="229"/>
      <c r="CQ146" s="229"/>
      <c r="CR146" s="229"/>
      <c r="CS146" s="229"/>
      <c r="CT146" s="229"/>
      <c r="CU146" s="229"/>
      <c r="CV146" s="229"/>
      <c r="CW146" s="229"/>
    </row>
    <row r="147" ht="15.75" hidden="1" customHeight="1">
      <c r="CD147" s="64"/>
      <c r="CE147" s="65"/>
      <c r="CF147" s="62"/>
      <c r="CG147" s="62"/>
      <c r="CH147" s="66"/>
      <c r="CI147" s="54"/>
      <c r="CJ147" s="54"/>
      <c r="CK147" s="67"/>
      <c r="CL147" s="78"/>
      <c r="CM147" s="70"/>
      <c r="CN147" s="229"/>
      <c r="CO147" s="229"/>
      <c r="CP147" s="229"/>
      <c r="CQ147" s="229"/>
      <c r="CR147" s="229"/>
      <c r="CS147" s="229"/>
      <c r="CT147" s="229"/>
      <c r="CU147" s="229"/>
      <c r="CV147" s="229"/>
      <c r="CW147" s="229"/>
    </row>
    <row r="148" ht="15.75" hidden="1" customHeight="1">
      <c r="CD148" s="64"/>
      <c r="CE148" s="65"/>
      <c r="CF148" s="62"/>
      <c r="CG148" s="62"/>
      <c r="CH148" s="66"/>
      <c r="CI148" s="54"/>
      <c r="CJ148" s="54"/>
      <c r="CK148" s="67"/>
      <c r="CL148" s="78"/>
      <c r="CM148" s="70"/>
      <c r="CN148" s="229"/>
      <c r="CO148" s="229"/>
      <c r="CP148" s="229"/>
      <c r="CQ148" s="229"/>
      <c r="CR148" s="229"/>
      <c r="CS148" s="229"/>
      <c r="CT148" s="229"/>
      <c r="CU148" s="229"/>
      <c r="CV148" s="229"/>
      <c r="CW148" s="229"/>
    </row>
    <row r="149" ht="15.75" hidden="1" customHeight="1">
      <c r="CD149" s="64"/>
      <c r="CE149" s="65"/>
      <c r="CF149" s="62"/>
      <c r="CG149" s="62"/>
      <c r="CH149" s="66"/>
      <c r="CI149" s="54"/>
      <c r="CJ149" s="54"/>
      <c r="CK149" s="67"/>
      <c r="CL149" s="78"/>
      <c r="CM149" s="70"/>
      <c r="CN149" s="229"/>
      <c r="CO149" s="229"/>
      <c r="CP149" s="229"/>
      <c r="CQ149" s="229"/>
      <c r="CR149" s="229"/>
      <c r="CS149" s="229"/>
      <c r="CT149" s="229"/>
      <c r="CU149" s="229"/>
      <c r="CV149" s="229"/>
      <c r="CW149" s="229"/>
    </row>
    <row r="150" ht="15.75" hidden="1" customHeight="1">
      <c r="CD150" s="64"/>
      <c r="CE150" s="65"/>
      <c r="CF150" s="62"/>
      <c r="CG150" s="62"/>
      <c r="CH150" s="66"/>
      <c r="CI150" s="54"/>
      <c r="CJ150" s="54"/>
      <c r="CK150" s="67"/>
      <c r="CL150" s="78"/>
      <c r="CM150" s="70"/>
      <c r="CN150" s="229"/>
      <c r="CO150" s="229"/>
      <c r="CP150" s="229"/>
      <c r="CQ150" s="229"/>
      <c r="CR150" s="229"/>
      <c r="CS150" s="229"/>
      <c r="CT150" s="229"/>
      <c r="CU150" s="229"/>
      <c r="CV150" s="229"/>
      <c r="CW150" s="229"/>
    </row>
    <row r="151" ht="15.75" hidden="1" customHeight="1">
      <c r="CD151" s="64"/>
      <c r="CE151" s="65"/>
      <c r="CF151" s="62"/>
      <c r="CG151" s="62"/>
      <c r="CH151" s="66"/>
      <c r="CI151" s="54"/>
      <c r="CJ151" s="54"/>
      <c r="CK151" s="67"/>
      <c r="CL151" s="78"/>
      <c r="CM151" s="70"/>
      <c r="CN151" s="229"/>
      <c r="CO151" s="229"/>
      <c r="CP151" s="229"/>
      <c r="CQ151" s="229"/>
      <c r="CR151" s="229"/>
      <c r="CS151" s="229"/>
      <c r="CT151" s="229"/>
      <c r="CU151" s="229"/>
      <c r="CV151" s="229"/>
      <c r="CW151" s="229"/>
    </row>
    <row r="152" ht="15.75" hidden="1" customHeight="1">
      <c r="CD152" s="64"/>
      <c r="CE152" s="65"/>
      <c r="CF152" s="62"/>
      <c r="CG152" s="62"/>
      <c r="CH152" s="66"/>
      <c r="CI152" s="54"/>
      <c r="CJ152" s="54"/>
      <c r="CK152" s="67"/>
      <c r="CL152" s="78"/>
      <c r="CM152" s="70"/>
      <c r="CN152" s="229"/>
      <c r="CO152" s="229"/>
      <c r="CP152" s="229"/>
      <c r="CQ152" s="229"/>
      <c r="CR152" s="229"/>
      <c r="CS152" s="229"/>
      <c r="CT152" s="229"/>
      <c r="CU152" s="229"/>
      <c r="CV152" s="229"/>
      <c r="CW152" s="229"/>
    </row>
    <row r="153" ht="15.75" hidden="1" customHeight="1">
      <c r="CD153" s="64"/>
      <c r="CE153" s="65"/>
      <c r="CF153" s="62"/>
      <c r="CG153" s="62"/>
      <c r="CH153" s="66"/>
      <c r="CI153" s="54"/>
      <c r="CJ153" s="54"/>
      <c r="CK153" s="67"/>
      <c r="CL153" s="78"/>
      <c r="CM153" s="70"/>
      <c r="CN153" s="229"/>
      <c r="CO153" s="229"/>
      <c r="CP153" s="229"/>
      <c r="CQ153" s="229"/>
      <c r="CR153" s="229"/>
      <c r="CS153" s="229"/>
      <c r="CT153" s="229"/>
      <c r="CU153" s="229"/>
      <c r="CV153" s="229"/>
      <c r="CW153" s="229"/>
    </row>
    <row r="154" ht="15.75" hidden="1" customHeight="1">
      <c r="CD154" s="64"/>
      <c r="CE154" s="65"/>
      <c r="CF154" s="62"/>
      <c r="CG154" s="62"/>
      <c r="CH154" s="66"/>
      <c r="CI154" s="54"/>
      <c r="CJ154" s="54"/>
      <c r="CK154" s="67"/>
      <c r="CL154" s="78"/>
      <c r="CM154" s="70"/>
      <c r="CN154" s="229"/>
      <c r="CO154" s="229"/>
      <c r="CP154" s="229"/>
      <c r="CQ154" s="229"/>
      <c r="CR154" s="229"/>
      <c r="CS154" s="229"/>
      <c r="CT154" s="229"/>
      <c r="CU154" s="229"/>
      <c r="CV154" s="229"/>
      <c r="CW154" s="229"/>
    </row>
    <row r="155" ht="15.75" hidden="1" customHeight="1">
      <c r="CD155" s="64"/>
      <c r="CE155" s="65"/>
      <c r="CF155" s="62"/>
      <c r="CG155" s="62"/>
      <c r="CH155" s="66"/>
      <c r="CI155" s="54"/>
      <c r="CJ155" s="54"/>
      <c r="CK155" s="67"/>
      <c r="CL155" s="78"/>
      <c r="CM155" s="70"/>
      <c r="CN155" s="229"/>
      <c r="CO155" s="229"/>
      <c r="CP155" s="229"/>
      <c r="CQ155" s="229"/>
      <c r="CR155" s="229"/>
      <c r="CS155" s="229"/>
      <c r="CT155" s="229"/>
      <c r="CU155" s="229"/>
      <c r="CV155" s="229"/>
      <c r="CW155" s="229"/>
    </row>
    <row r="156" ht="15.75" hidden="1" customHeight="1">
      <c r="CD156" s="64"/>
      <c r="CE156" s="65"/>
      <c r="CF156" s="62"/>
      <c r="CG156" s="62"/>
      <c r="CH156" s="66"/>
      <c r="CI156" s="54"/>
      <c r="CJ156" s="54"/>
      <c r="CK156" s="67"/>
      <c r="CL156" s="78"/>
      <c r="CM156" s="70"/>
      <c r="CN156" s="229"/>
      <c r="CO156" s="229"/>
      <c r="CP156" s="229"/>
      <c r="CQ156" s="229"/>
      <c r="CR156" s="229"/>
      <c r="CS156" s="229"/>
      <c r="CT156" s="229"/>
      <c r="CU156" s="229"/>
      <c r="CV156" s="229"/>
      <c r="CW156" s="229"/>
    </row>
    <row r="157" ht="15.75" hidden="1" customHeight="1">
      <c r="CD157" s="64"/>
      <c r="CE157" s="65"/>
      <c r="CF157" s="62"/>
      <c r="CG157" s="62"/>
      <c r="CH157" s="66"/>
      <c r="CI157" s="54"/>
      <c r="CJ157" s="54"/>
      <c r="CK157" s="67"/>
      <c r="CL157" s="78"/>
      <c r="CM157" s="70"/>
      <c r="CN157" s="229"/>
      <c r="CO157" s="229"/>
      <c r="CP157" s="229"/>
      <c r="CQ157" s="229"/>
      <c r="CR157" s="229"/>
      <c r="CS157" s="229"/>
      <c r="CT157" s="229"/>
      <c r="CU157" s="229"/>
      <c r="CV157" s="229"/>
      <c r="CW157" s="229"/>
    </row>
    <row r="158" ht="15.75" hidden="1" customHeight="1">
      <c r="CD158" s="64"/>
      <c r="CE158" s="65"/>
      <c r="CF158" s="62"/>
      <c r="CG158" s="62"/>
      <c r="CH158" s="66"/>
      <c r="CI158" s="54"/>
      <c r="CJ158" s="54"/>
      <c r="CK158" s="67"/>
      <c r="CL158" s="78"/>
      <c r="CM158" s="70"/>
      <c r="CN158" s="229"/>
      <c r="CO158" s="229"/>
      <c r="CP158" s="229"/>
      <c r="CQ158" s="229"/>
      <c r="CR158" s="229"/>
      <c r="CS158" s="229"/>
      <c r="CT158" s="229"/>
      <c r="CU158" s="229"/>
      <c r="CV158" s="229"/>
      <c r="CW158" s="229"/>
    </row>
    <row r="159" ht="15.75" hidden="1" customHeight="1">
      <c r="CD159" s="64"/>
      <c r="CE159" s="65"/>
      <c r="CF159" s="62"/>
      <c r="CG159" s="62"/>
      <c r="CH159" s="66"/>
      <c r="CI159" s="54"/>
      <c r="CJ159" s="54"/>
      <c r="CK159" s="67"/>
      <c r="CL159" s="78"/>
      <c r="CM159" s="70"/>
      <c r="CN159" s="229"/>
      <c r="CO159" s="229"/>
      <c r="CP159" s="229"/>
      <c r="CQ159" s="229"/>
      <c r="CR159" s="229"/>
      <c r="CS159" s="229"/>
      <c r="CT159" s="229"/>
      <c r="CU159" s="229"/>
      <c r="CV159" s="229"/>
      <c r="CW159" s="229"/>
    </row>
    <row r="160" ht="15.75" hidden="1" customHeight="1">
      <c r="CD160" s="64"/>
      <c r="CE160" s="65"/>
      <c r="CF160" s="62"/>
      <c r="CG160" s="62"/>
      <c r="CH160" s="66"/>
      <c r="CI160" s="54"/>
      <c r="CJ160" s="54"/>
      <c r="CK160" s="67"/>
      <c r="CL160" s="78"/>
      <c r="CM160" s="70"/>
      <c r="CN160" s="229"/>
      <c r="CO160" s="229"/>
      <c r="CP160" s="229"/>
      <c r="CQ160" s="229"/>
      <c r="CR160" s="229"/>
      <c r="CS160" s="229"/>
      <c r="CT160" s="229"/>
      <c r="CU160" s="229"/>
      <c r="CV160" s="229"/>
      <c r="CW160" s="229"/>
    </row>
    <row r="161" ht="15.75" hidden="1" customHeight="1">
      <c r="CD161" s="64"/>
      <c r="CE161" s="65"/>
      <c r="CF161" s="62"/>
      <c r="CG161" s="62"/>
      <c r="CH161" s="66"/>
      <c r="CI161" s="54"/>
      <c r="CJ161" s="54"/>
      <c r="CK161" s="67"/>
      <c r="CL161" s="78"/>
      <c r="CM161" s="70"/>
      <c r="CN161" s="229"/>
      <c r="CO161" s="229"/>
      <c r="CP161" s="229"/>
      <c r="CQ161" s="229"/>
      <c r="CR161" s="229"/>
      <c r="CS161" s="229"/>
      <c r="CT161" s="229"/>
      <c r="CU161" s="229"/>
      <c r="CV161" s="229"/>
      <c r="CW161" s="229"/>
    </row>
    <row r="162" ht="15.75" hidden="1" customHeight="1">
      <c r="CD162" s="64"/>
      <c r="CE162" s="65"/>
      <c r="CF162" s="62"/>
      <c r="CG162" s="62"/>
      <c r="CH162" s="66"/>
      <c r="CI162" s="54"/>
      <c r="CJ162" s="54"/>
      <c r="CK162" s="67"/>
      <c r="CL162" s="78"/>
      <c r="CM162" s="70"/>
      <c r="CN162" s="229"/>
      <c r="CO162" s="229"/>
      <c r="CP162" s="229"/>
      <c r="CQ162" s="229"/>
      <c r="CR162" s="229"/>
      <c r="CS162" s="229"/>
      <c r="CT162" s="229"/>
      <c r="CU162" s="229"/>
      <c r="CV162" s="229"/>
      <c r="CW162" s="229"/>
    </row>
    <row r="163" ht="15.75" hidden="1" customHeight="1">
      <c r="CD163" s="64"/>
      <c r="CE163" s="65"/>
      <c r="CF163" s="62"/>
      <c r="CG163" s="62"/>
      <c r="CH163" s="66"/>
      <c r="CI163" s="54"/>
      <c r="CJ163" s="54"/>
      <c r="CK163" s="67"/>
      <c r="CL163" s="78"/>
      <c r="CM163" s="70"/>
      <c r="CN163" s="229"/>
      <c r="CO163" s="229"/>
      <c r="CP163" s="229"/>
      <c r="CQ163" s="229"/>
      <c r="CR163" s="229"/>
      <c r="CS163" s="229"/>
      <c r="CT163" s="229"/>
      <c r="CU163" s="229"/>
      <c r="CV163" s="229"/>
      <c r="CW163" s="229"/>
    </row>
    <row r="164" ht="15.75" hidden="1" customHeight="1">
      <c r="CD164" s="64"/>
      <c r="CE164" s="65"/>
      <c r="CF164" s="62"/>
      <c r="CG164" s="62"/>
      <c r="CH164" s="66"/>
      <c r="CI164" s="54"/>
      <c r="CJ164" s="54"/>
      <c r="CK164" s="67"/>
      <c r="CL164" s="78"/>
      <c r="CM164" s="70"/>
      <c r="CN164" s="229"/>
      <c r="CO164" s="229"/>
      <c r="CP164" s="229"/>
      <c r="CQ164" s="229"/>
      <c r="CR164" s="229"/>
      <c r="CS164" s="229"/>
      <c r="CT164" s="229"/>
      <c r="CU164" s="229"/>
      <c r="CV164" s="229"/>
      <c r="CW164" s="229"/>
    </row>
    <row r="165" ht="15.75" hidden="1" customHeight="1">
      <c r="CD165" s="64"/>
      <c r="CE165" s="65"/>
      <c r="CF165" s="62"/>
      <c r="CG165" s="62"/>
      <c r="CH165" s="66"/>
      <c r="CI165" s="54"/>
      <c r="CJ165" s="54"/>
      <c r="CK165" s="67"/>
      <c r="CL165" s="78"/>
      <c r="CM165" s="70"/>
      <c r="CN165" s="229"/>
      <c r="CO165" s="229"/>
      <c r="CP165" s="229"/>
      <c r="CQ165" s="229"/>
      <c r="CR165" s="229"/>
      <c r="CS165" s="229"/>
      <c r="CT165" s="229"/>
      <c r="CU165" s="229"/>
      <c r="CV165" s="229"/>
      <c r="CW165" s="229"/>
    </row>
    <row r="166" ht="15.75" hidden="1" customHeight="1">
      <c r="CD166" s="86"/>
      <c r="CE166" s="87"/>
      <c r="CF166" s="62"/>
      <c r="CG166" s="62"/>
      <c r="CH166" s="88"/>
      <c r="CI166" s="89"/>
      <c r="CJ166" s="89"/>
      <c r="CK166" s="90"/>
      <c r="CL166" s="91"/>
      <c r="CM166" s="92"/>
      <c r="CN166" s="229"/>
      <c r="CO166" s="229"/>
      <c r="CP166" s="229"/>
      <c r="CQ166" s="229"/>
      <c r="CR166" s="229"/>
      <c r="CS166" s="229"/>
      <c r="CT166" s="229"/>
      <c r="CU166" s="229"/>
      <c r="CV166" s="229"/>
      <c r="CW166" s="229"/>
    </row>
    <row r="167" ht="15.75" hidden="1" customHeight="1">
      <c r="CD167" s="64"/>
      <c r="CE167" s="65"/>
      <c r="CF167" s="62"/>
      <c r="CG167" s="62"/>
      <c r="CH167" s="66"/>
      <c r="CI167" s="54"/>
      <c r="CJ167" s="54"/>
      <c r="CK167" s="67"/>
      <c r="CL167" s="78"/>
      <c r="CM167" s="70"/>
      <c r="CN167" s="229"/>
      <c r="CO167" s="229"/>
      <c r="CP167" s="229"/>
      <c r="CQ167" s="229"/>
      <c r="CR167" s="229"/>
      <c r="CS167" s="229"/>
      <c r="CT167" s="229"/>
      <c r="CU167" s="229"/>
      <c r="CV167" s="229"/>
      <c r="CW167" s="229"/>
    </row>
    <row r="168" ht="15.75" hidden="1" customHeight="1">
      <c r="CD168" s="64"/>
      <c r="CE168" s="65"/>
      <c r="CF168" s="62"/>
      <c r="CG168" s="62"/>
      <c r="CH168" s="66"/>
      <c r="CI168" s="54"/>
      <c r="CJ168" s="54"/>
      <c r="CK168" s="67"/>
      <c r="CL168" s="78"/>
      <c r="CM168" s="70"/>
      <c r="CN168" s="229"/>
      <c r="CO168" s="229"/>
      <c r="CP168" s="229"/>
      <c r="CQ168" s="229"/>
      <c r="CR168" s="229"/>
      <c r="CS168" s="229"/>
      <c r="CT168" s="229"/>
      <c r="CU168" s="229"/>
      <c r="CV168" s="229"/>
      <c r="CW168" s="229"/>
    </row>
    <row r="169" ht="15.75" hidden="1" customHeight="1">
      <c r="CD169" s="64"/>
      <c r="CE169" s="65"/>
      <c r="CF169" s="62"/>
      <c r="CG169" s="62"/>
      <c r="CH169" s="66"/>
      <c r="CI169" s="54"/>
      <c r="CJ169" s="54"/>
      <c r="CK169" s="67"/>
      <c r="CL169" s="78"/>
      <c r="CM169" s="70"/>
      <c r="CN169" s="229"/>
      <c r="CO169" s="229"/>
      <c r="CP169" s="229"/>
      <c r="CQ169" s="229"/>
      <c r="CR169" s="229"/>
      <c r="CS169" s="229"/>
      <c r="CT169" s="229"/>
      <c r="CU169" s="229"/>
      <c r="CV169" s="229"/>
      <c r="CW169" s="229"/>
    </row>
    <row r="170" ht="15.75" hidden="1" customHeight="1">
      <c r="CD170" s="64"/>
      <c r="CE170" s="65"/>
      <c r="CF170" s="62"/>
      <c r="CG170" s="62"/>
      <c r="CH170" s="66"/>
      <c r="CI170" s="54"/>
      <c r="CJ170" s="54"/>
      <c r="CK170" s="67"/>
      <c r="CL170" s="78"/>
      <c r="CM170" s="70"/>
      <c r="CN170" s="229"/>
      <c r="CO170" s="229"/>
      <c r="CP170" s="229"/>
      <c r="CQ170" s="229"/>
      <c r="CR170" s="229"/>
      <c r="CS170" s="229"/>
      <c r="CT170" s="229"/>
      <c r="CU170" s="229"/>
      <c r="CV170" s="229"/>
      <c r="CW170" s="229"/>
    </row>
    <row r="171" ht="15.75" hidden="1" customHeight="1">
      <c r="CD171" s="64"/>
      <c r="CE171" s="65"/>
      <c r="CF171" s="62"/>
      <c r="CG171" s="62"/>
      <c r="CH171" s="66"/>
      <c r="CI171" s="54"/>
      <c r="CJ171" s="54"/>
      <c r="CK171" s="67"/>
      <c r="CL171" s="78"/>
      <c r="CM171" s="70"/>
      <c r="CN171" s="229"/>
      <c r="CO171" s="229"/>
      <c r="CP171" s="229"/>
      <c r="CQ171" s="229"/>
      <c r="CR171" s="229"/>
      <c r="CS171" s="229"/>
      <c r="CT171" s="229"/>
      <c r="CU171" s="229"/>
      <c r="CV171" s="229"/>
      <c r="CW171" s="229"/>
    </row>
    <row r="172" ht="15.75" hidden="1" customHeight="1">
      <c r="CD172" s="64"/>
      <c r="CE172" s="65"/>
      <c r="CF172" s="62"/>
      <c r="CG172" s="62"/>
      <c r="CH172" s="66"/>
      <c r="CI172" s="54"/>
      <c r="CJ172" s="54"/>
      <c r="CK172" s="67"/>
      <c r="CL172" s="78"/>
      <c r="CM172" s="70"/>
      <c r="CN172" s="229"/>
      <c r="CO172" s="229"/>
      <c r="CP172" s="229"/>
      <c r="CQ172" s="229"/>
      <c r="CR172" s="229"/>
      <c r="CS172" s="229"/>
      <c r="CT172" s="229"/>
      <c r="CU172" s="229"/>
      <c r="CV172" s="229"/>
      <c r="CW172" s="229"/>
    </row>
    <row r="173" ht="15.75" hidden="1" customHeight="1">
      <c r="CD173" s="64"/>
      <c r="CE173" s="65"/>
      <c r="CF173" s="62"/>
      <c r="CG173" s="62"/>
      <c r="CH173" s="66"/>
      <c r="CI173" s="54"/>
      <c r="CJ173" s="54"/>
      <c r="CK173" s="67"/>
      <c r="CL173" s="78"/>
      <c r="CM173" s="70"/>
      <c r="CN173" s="229"/>
      <c r="CO173" s="229"/>
      <c r="CP173" s="229"/>
      <c r="CQ173" s="229"/>
      <c r="CR173" s="229"/>
      <c r="CS173" s="229"/>
      <c r="CT173" s="229"/>
      <c r="CU173" s="229"/>
      <c r="CV173" s="229"/>
      <c r="CW173" s="229"/>
    </row>
    <row r="174" ht="15.75" hidden="1" customHeight="1">
      <c r="CD174" s="64"/>
      <c r="CE174" s="65"/>
      <c r="CF174" s="62"/>
      <c r="CG174" s="62"/>
      <c r="CH174" s="66"/>
      <c r="CI174" s="54"/>
      <c r="CJ174" s="54"/>
      <c r="CK174" s="67"/>
      <c r="CL174" s="78"/>
      <c r="CM174" s="70"/>
      <c r="CN174" s="229"/>
      <c r="CO174" s="229"/>
      <c r="CP174" s="229"/>
      <c r="CQ174" s="229"/>
      <c r="CR174" s="229"/>
      <c r="CS174" s="229"/>
      <c r="CT174" s="229"/>
      <c r="CU174" s="229"/>
      <c r="CV174" s="229"/>
      <c r="CW174" s="229"/>
    </row>
    <row r="175" ht="15.75" hidden="1" customHeight="1">
      <c r="CD175" s="64"/>
      <c r="CE175" s="65"/>
      <c r="CF175" s="62"/>
      <c r="CG175" s="62"/>
      <c r="CH175" s="66"/>
      <c r="CI175" s="54"/>
      <c r="CJ175" s="54"/>
      <c r="CK175" s="67"/>
      <c r="CL175" s="78"/>
      <c r="CM175" s="70"/>
      <c r="CN175" s="229"/>
      <c r="CO175" s="229"/>
      <c r="CP175" s="229"/>
      <c r="CQ175" s="229"/>
      <c r="CR175" s="229"/>
      <c r="CS175" s="229"/>
      <c r="CT175" s="229"/>
      <c r="CU175" s="229"/>
      <c r="CV175" s="229"/>
      <c r="CW175" s="229"/>
    </row>
    <row r="176" ht="15.75" hidden="1" customHeight="1">
      <c r="CD176" s="64"/>
      <c r="CE176" s="65"/>
      <c r="CF176" s="62"/>
      <c r="CG176" s="62"/>
      <c r="CH176" s="66"/>
      <c r="CI176" s="54"/>
      <c r="CJ176" s="54"/>
      <c r="CK176" s="67"/>
      <c r="CL176" s="78"/>
      <c r="CM176" s="70"/>
      <c r="CN176" s="229"/>
      <c r="CO176" s="229"/>
      <c r="CP176" s="229"/>
      <c r="CQ176" s="229"/>
      <c r="CR176" s="229"/>
      <c r="CS176" s="229"/>
      <c r="CT176" s="229"/>
      <c r="CU176" s="229"/>
      <c r="CV176" s="229"/>
      <c r="CW176" s="229"/>
    </row>
    <row r="177" ht="15.75" hidden="1" customHeight="1">
      <c r="CD177" s="64"/>
      <c r="CE177" s="65"/>
      <c r="CF177" s="62"/>
      <c r="CG177" s="62"/>
      <c r="CH177" s="66"/>
      <c r="CI177" s="54"/>
      <c r="CJ177" s="54"/>
      <c r="CK177" s="67"/>
      <c r="CL177" s="78"/>
      <c r="CM177" s="70"/>
      <c r="CN177" s="229"/>
      <c r="CO177" s="229"/>
      <c r="CP177" s="229"/>
      <c r="CQ177" s="229"/>
      <c r="CR177" s="229"/>
      <c r="CS177" s="229"/>
      <c r="CT177" s="229"/>
      <c r="CU177" s="229"/>
      <c r="CV177" s="229"/>
      <c r="CW177" s="229"/>
    </row>
    <row r="178" ht="15.75" hidden="1" customHeight="1">
      <c r="CD178" s="64"/>
      <c r="CE178" s="65"/>
      <c r="CF178" s="62"/>
      <c r="CG178" s="62"/>
      <c r="CH178" s="66"/>
      <c r="CI178" s="54"/>
      <c r="CJ178" s="54"/>
      <c r="CK178" s="67"/>
      <c r="CL178" s="78"/>
      <c r="CM178" s="70"/>
      <c r="CN178" s="229"/>
      <c r="CO178" s="229"/>
      <c r="CP178" s="229"/>
      <c r="CQ178" s="229"/>
      <c r="CR178" s="229"/>
      <c r="CS178" s="229"/>
      <c r="CT178" s="229"/>
      <c r="CU178" s="229"/>
      <c r="CV178" s="229"/>
      <c r="CW178" s="229"/>
    </row>
    <row r="179" ht="15.75" hidden="1" customHeight="1">
      <c r="CD179" s="64"/>
      <c r="CE179" s="65"/>
      <c r="CF179" s="62"/>
      <c r="CG179" s="62"/>
      <c r="CH179" s="66"/>
      <c r="CI179" s="54"/>
      <c r="CJ179" s="54"/>
      <c r="CK179" s="67"/>
      <c r="CL179" s="78"/>
      <c r="CM179" s="70"/>
      <c r="CN179" s="229"/>
      <c r="CO179" s="229"/>
      <c r="CP179" s="229"/>
      <c r="CQ179" s="229"/>
      <c r="CR179" s="229"/>
      <c r="CS179" s="229"/>
      <c r="CT179" s="229"/>
      <c r="CU179" s="229"/>
      <c r="CV179" s="229"/>
      <c r="CW179" s="229"/>
    </row>
    <row r="180" ht="15.75" hidden="1" customHeight="1">
      <c r="CD180" s="64"/>
      <c r="CE180" s="65"/>
      <c r="CF180" s="62"/>
      <c r="CG180" s="62"/>
      <c r="CH180" s="66"/>
      <c r="CI180" s="54"/>
      <c r="CJ180" s="54"/>
      <c r="CK180" s="67"/>
      <c r="CL180" s="78"/>
      <c r="CM180" s="70"/>
      <c r="CN180" s="229"/>
      <c r="CO180" s="229"/>
      <c r="CP180" s="229"/>
      <c r="CQ180" s="229"/>
      <c r="CR180" s="229"/>
      <c r="CS180" s="229"/>
      <c r="CT180" s="229"/>
      <c r="CU180" s="229"/>
      <c r="CV180" s="229"/>
      <c r="CW180" s="229"/>
    </row>
    <row r="181" ht="15.75" hidden="1" customHeight="1">
      <c r="CD181" s="64"/>
      <c r="CE181" s="65"/>
      <c r="CF181" s="62"/>
      <c r="CG181" s="62"/>
      <c r="CH181" s="66"/>
      <c r="CI181" s="54"/>
      <c r="CJ181" s="54"/>
      <c r="CK181" s="67"/>
      <c r="CL181" s="78"/>
      <c r="CM181" s="70"/>
      <c r="CN181" s="229"/>
      <c r="CO181" s="229"/>
      <c r="CP181" s="229"/>
      <c r="CQ181" s="229"/>
      <c r="CR181" s="229"/>
      <c r="CS181" s="229"/>
      <c r="CT181" s="229"/>
      <c r="CU181" s="229"/>
      <c r="CV181" s="229"/>
      <c r="CW181" s="229"/>
    </row>
    <row r="182" ht="15.75" hidden="1" customHeight="1">
      <c r="CD182" s="64"/>
      <c r="CE182" s="65"/>
      <c r="CF182" s="62"/>
      <c r="CG182" s="62"/>
      <c r="CH182" s="66"/>
      <c r="CI182" s="54"/>
      <c r="CJ182" s="54"/>
      <c r="CK182" s="67"/>
      <c r="CL182" s="78"/>
      <c r="CM182" s="70"/>
      <c r="CN182" s="229"/>
      <c r="CO182" s="229"/>
      <c r="CP182" s="229"/>
      <c r="CQ182" s="229"/>
      <c r="CR182" s="229"/>
      <c r="CS182" s="229"/>
      <c r="CT182" s="229"/>
      <c r="CU182" s="229"/>
      <c r="CV182" s="229"/>
      <c r="CW182" s="229"/>
    </row>
    <row r="183" ht="15.75" hidden="1" customHeight="1">
      <c r="CD183" s="64"/>
      <c r="CE183" s="65"/>
      <c r="CF183" s="62"/>
      <c r="CG183" s="62"/>
      <c r="CH183" s="66"/>
      <c r="CI183" s="54"/>
      <c r="CJ183" s="54"/>
      <c r="CK183" s="67"/>
      <c r="CL183" s="78"/>
      <c r="CM183" s="70"/>
      <c r="CN183" s="229"/>
      <c r="CO183" s="229"/>
      <c r="CP183" s="229"/>
      <c r="CQ183" s="229"/>
      <c r="CR183" s="229"/>
      <c r="CS183" s="229"/>
      <c r="CT183" s="229"/>
      <c r="CU183" s="229"/>
      <c r="CV183" s="229"/>
      <c r="CW183" s="229"/>
    </row>
    <row r="184" ht="15.75" hidden="1" customHeight="1">
      <c r="CD184" s="64"/>
      <c r="CE184" s="65"/>
      <c r="CF184" s="62"/>
      <c r="CG184" s="62"/>
      <c r="CH184" s="66"/>
      <c r="CI184" s="54"/>
      <c r="CJ184" s="54"/>
      <c r="CK184" s="67"/>
      <c r="CL184" s="78"/>
      <c r="CM184" s="70"/>
      <c r="CN184" s="229"/>
      <c r="CO184" s="229"/>
      <c r="CP184" s="229"/>
      <c r="CQ184" s="229"/>
      <c r="CR184" s="229"/>
      <c r="CS184" s="229"/>
      <c r="CT184" s="229"/>
      <c r="CU184" s="229"/>
      <c r="CV184" s="229"/>
      <c r="CW184" s="229"/>
    </row>
    <row r="185" ht="15.75" hidden="1" customHeight="1">
      <c r="CD185" s="64"/>
      <c r="CE185" s="65"/>
      <c r="CF185" s="62"/>
      <c r="CG185" s="62"/>
      <c r="CH185" s="66"/>
      <c r="CI185" s="54"/>
      <c r="CJ185" s="54"/>
      <c r="CK185" s="67"/>
      <c r="CL185" s="78"/>
      <c r="CM185" s="70"/>
      <c r="CN185" s="229"/>
      <c r="CO185" s="229"/>
      <c r="CP185" s="229"/>
      <c r="CQ185" s="229"/>
      <c r="CR185" s="229"/>
      <c r="CS185" s="229"/>
      <c r="CT185" s="229"/>
      <c r="CU185" s="229"/>
      <c r="CV185" s="229"/>
      <c r="CW185" s="229"/>
    </row>
    <row r="186" ht="15.75" hidden="1" customHeight="1">
      <c r="CD186" s="64"/>
      <c r="CE186" s="65"/>
      <c r="CF186" s="62"/>
      <c r="CG186" s="62"/>
      <c r="CH186" s="66"/>
      <c r="CI186" s="54"/>
      <c r="CJ186" s="54"/>
      <c r="CK186" s="67"/>
      <c r="CL186" s="78"/>
      <c r="CM186" s="70"/>
      <c r="CN186" s="229"/>
      <c r="CO186" s="229"/>
      <c r="CP186" s="229"/>
      <c r="CQ186" s="229"/>
      <c r="CR186" s="229"/>
      <c r="CS186" s="229"/>
      <c r="CT186" s="229"/>
      <c r="CU186" s="229"/>
      <c r="CV186" s="229"/>
      <c r="CW186" s="229"/>
    </row>
    <row r="187" ht="15.75" hidden="1" customHeight="1">
      <c r="CD187" s="64"/>
      <c r="CE187" s="65"/>
      <c r="CF187" s="62"/>
      <c r="CG187" s="62"/>
      <c r="CH187" s="66"/>
      <c r="CI187" s="54"/>
      <c r="CJ187" s="54"/>
      <c r="CK187" s="67"/>
      <c r="CL187" s="78"/>
      <c r="CM187" s="70"/>
      <c r="CN187" s="229"/>
      <c r="CO187" s="229"/>
      <c r="CP187" s="229"/>
      <c r="CQ187" s="229"/>
      <c r="CR187" s="229"/>
      <c r="CS187" s="229"/>
      <c r="CT187" s="229"/>
      <c r="CU187" s="229"/>
      <c r="CV187" s="229"/>
      <c r="CW187" s="229"/>
    </row>
    <row r="188" ht="15.75" hidden="1" customHeight="1">
      <c r="CD188" s="64"/>
      <c r="CE188" s="65"/>
      <c r="CF188" s="62"/>
      <c r="CG188" s="62"/>
      <c r="CH188" s="66"/>
      <c r="CI188" s="54"/>
      <c r="CJ188" s="54"/>
      <c r="CK188" s="67"/>
      <c r="CL188" s="78"/>
      <c r="CM188" s="70"/>
      <c r="CN188" s="229"/>
      <c r="CO188" s="229"/>
      <c r="CP188" s="229"/>
      <c r="CQ188" s="229"/>
      <c r="CR188" s="229"/>
      <c r="CS188" s="229"/>
      <c r="CT188" s="229"/>
      <c r="CU188" s="229"/>
      <c r="CV188" s="229"/>
      <c r="CW188" s="229"/>
    </row>
    <row r="189" ht="15.75" hidden="1" customHeight="1">
      <c r="CD189" s="64"/>
      <c r="CE189" s="65"/>
      <c r="CF189" s="62"/>
      <c r="CG189" s="62"/>
      <c r="CH189" s="66"/>
      <c r="CI189" s="54"/>
      <c r="CJ189" s="54"/>
      <c r="CK189" s="67"/>
      <c r="CL189" s="78"/>
      <c r="CM189" s="70"/>
      <c r="CN189" s="229"/>
      <c r="CO189" s="229"/>
      <c r="CP189" s="229"/>
      <c r="CQ189" s="229"/>
      <c r="CR189" s="229"/>
      <c r="CS189" s="229"/>
      <c r="CT189" s="229"/>
      <c r="CU189" s="229"/>
      <c r="CV189" s="229"/>
      <c r="CW189" s="229"/>
    </row>
    <row r="190" ht="15.75" hidden="1" customHeight="1">
      <c r="CD190" s="86"/>
      <c r="CE190" s="87"/>
      <c r="CF190" s="62"/>
      <c r="CG190" s="62"/>
      <c r="CH190" s="88"/>
      <c r="CI190" s="89"/>
      <c r="CJ190" s="89"/>
      <c r="CK190" s="90"/>
      <c r="CL190" s="91"/>
      <c r="CM190" s="92"/>
      <c r="CN190" s="229"/>
      <c r="CO190" s="229"/>
      <c r="CP190" s="229"/>
      <c r="CQ190" s="229"/>
      <c r="CR190" s="229"/>
      <c r="CS190" s="229"/>
      <c r="CT190" s="229"/>
      <c r="CU190" s="229"/>
      <c r="CV190" s="229"/>
      <c r="CW190" s="229"/>
    </row>
    <row r="191" ht="15.75" hidden="1" customHeight="1">
      <c r="CD191" s="64"/>
      <c r="CE191" s="65"/>
      <c r="CF191" s="62"/>
      <c r="CG191" s="62"/>
      <c r="CH191" s="66"/>
      <c r="CI191" s="54"/>
      <c r="CJ191" s="54"/>
      <c r="CK191" s="67"/>
      <c r="CL191" s="78"/>
      <c r="CM191" s="70"/>
      <c r="CN191" s="229"/>
      <c r="CO191" s="229"/>
      <c r="CP191" s="229"/>
      <c r="CQ191" s="229"/>
      <c r="CR191" s="229"/>
      <c r="CS191" s="229"/>
      <c r="CT191" s="229"/>
      <c r="CU191" s="229"/>
      <c r="CV191" s="229"/>
      <c r="CW191" s="229"/>
    </row>
    <row r="192" ht="15.75" hidden="1" customHeight="1">
      <c r="CD192" s="64"/>
      <c r="CE192" s="65"/>
      <c r="CF192" s="62"/>
      <c r="CG192" s="62"/>
      <c r="CH192" s="66"/>
      <c r="CI192" s="54"/>
      <c r="CJ192" s="54"/>
      <c r="CK192" s="67"/>
      <c r="CL192" s="78"/>
      <c r="CM192" s="70"/>
      <c r="CN192" s="229"/>
      <c r="CO192" s="229"/>
      <c r="CP192" s="229"/>
      <c r="CQ192" s="229"/>
      <c r="CR192" s="229"/>
      <c r="CS192" s="229"/>
      <c r="CT192" s="229"/>
      <c r="CU192" s="229"/>
      <c r="CV192" s="229"/>
      <c r="CW192" s="229"/>
    </row>
    <row r="193" ht="15.75" hidden="1" customHeight="1">
      <c r="CD193" s="64"/>
      <c r="CE193" s="65"/>
      <c r="CF193" s="62"/>
      <c r="CG193" s="62"/>
      <c r="CH193" s="66"/>
      <c r="CI193" s="54"/>
      <c r="CJ193" s="54"/>
      <c r="CK193" s="67"/>
      <c r="CL193" s="78"/>
      <c r="CM193" s="70"/>
      <c r="CN193" s="229"/>
      <c r="CO193" s="229"/>
      <c r="CP193" s="229"/>
      <c r="CQ193" s="229"/>
      <c r="CR193" s="229"/>
      <c r="CS193" s="229"/>
      <c r="CT193" s="229"/>
      <c r="CU193" s="229"/>
      <c r="CV193" s="229"/>
      <c r="CW193" s="229"/>
    </row>
    <row r="194" ht="15.75" hidden="1" customHeight="1">
      <c r="CD194" s="64"/>
      <c r="CE194" s="65"/>
      <c r="CF194" s="62"/>
      <c r="CG194" s="62"/>
      <c r="CH194" s="66"/>
      <c r="CI194" s="54"/>
      <c r="CJ194" s="54"/>
      <c r="CK194" s="67"/>
      <c r="CL194" s="78"/>
      <c r="CM194" s="70"/>
      <c r="CN194" s="229"/>
      <c r="CO194" s="229"/>
      <c r="CP194" s="229"/>
      <c r="CQ194" s="229"/>
      <c r="CR194" s="229"/>
      <c r="CS194" s="229"/>
      <c r="CT194" s="229"/>
      <c r="CU194" s="229"/>
      <c r="CV194" s="229"/>
      <c r="CW194" s="229"/>
    </row>
    <row r="195" ht="15.75" hidden="1" customHeight="1">
      <c r="CD195" s="64"/>
      <c r="CE195" s="65"/>
      <c r="CF195" s="62"/>
      <c r="CG195" s="62"/>
      <c r="CH195" s="66"/>
      <c r="CI195" s="54"/>
      <c r="CJ195" s="54"/>
      <c r="CK195" s="67"/>
      <c r="CL195" s="78"/>
      <c r="CM195" s="70"/>
      <c r="CN195" s="229"/>
      <c r="CO195" s="229"/>
      <c r="CP195" s="229"/>
      <c r="CQ195" s="229"/>
      <c r="CR195" s="229"/>
      <c r="CS195" s="229"/>
      <c r="CT195" s="229"/>
      <c r="CU195" s="229"/>
      <c r="CV195" s="229"/>
      <c r="CW195" s="229"/>
    </row>
    <row r="196" ht="15.75" hidden="1" customHeight="1">
      <c r="CD196" s="64"/>
      <c r="CE196" s="65"/>
      <c r="CF196" s="62"/>
      <c r="CG196" s="62"/>
      <c r="CH196" s="66"/>
      <c r="CI196" s="54"/>
      <c r="CJ196" s="54"/>
      <c r="CK196" s="67"/>
      <c r="CL196" s="78"/>
      <c r="CM196" s="70"/>
      <c r="CN196" s="229"/>
      <c r="CO196" s="229"/>
      <c r="CP196" s="229"/>
      <c r="CQ196" s="229"/>
      <c r="CR196" s="229"/>
      <c r="CS196" s="229"/>
      <c r="CT196" s="229"/>
      <c r="CU196" s="229"/>
      <c r="CV196" s="229"/>
      <c r="CW196" s="229"/>
    </row>
    <row r="197" ht="15.75" hidden="1" customHeight="1">
      <c r="CD197" s="64"/>
      <c r="CE197" s="65"/>
      <c r="CF197" s="62"/>
      <c r="CG197" s="62"/>
      <c r="CH197" s="66"/>
      <c r="CI197" s="54"/>
      <c r="CJ197" s="54"/>
      <c r="CK197" s="67"/>
      <c r="CL197" s="78"/>
      <c r="CM197" s="70"/>
      <c r="CN197" s="229"/>
      <c r="CO197" s="229"/>
      <c r="CP197" s="229"/>
      <c r="CQ197" s="229"/>
      <c r="CR197" s="229"/>
      <c r="CS197" s="229"/>
      <c r="CT197" s="229"/>
      <c r="CU197" s="229"/>
      <c r="CV197" s="229"/>
      <c r="CW197" s="229"/>
    </row>
    <row r="198" ht="15.75" hidden="1" customHeight="1">
      <c r="CD198" s="64"/>
      <c r="CE198" s="65"/>
      <c r="CF198" s="62"/>
      <c r="CG198" s="62"/>
      <c r="CH198" s="66"/>
      <c r="CI198" s="54"/>
      <c r="CJ198" s="54"/>
      <c r="CK198" s="67"/>
      <c r="CL198" s="78"/>
      <c r="CM198" s="70"/>
      <c r="CN198" s="229"/>
      <c r="CO198" s="229"/>
      <c r="CP198" s="229"/>
      <c r="CQ198" s="229"/>
      <c r="CR198" s="229"/>
      <c r="CS198" s="229"/>
      <c r="CT198" s="229"/>
      <c r="CU198" s="229"/>
      <c r="CV198" s="229"/>
      <c r="CW198" s="229"/>
    </row>
    <row r="199" ht="15.75" hidden="1" customHeight="1">
      <c r="CD199" s="64"/>
      <c r="CE199" s="65"/>
      <c r="CF199" s="62"/>
      <c r="CG199" s="62"/>
      <c r="CH199" s="66"/>
      <c r="CI199" s="54"/>
      <c r="CJ199" s="54"/>
      <c r="CK199" s="67"/>
      <c r="CL199" s="78"/>
      <c r="CM199" s="70"/>
      <c r="CN199" s="229"/>
      <c r="CO199" s="229"/>
      <c r="CP199" s="229"/>
      <c r="CQ199" s="229"/>
      <c r="CR199" s="229"/>
      <c r="CS199" s="229"/>
      <c r="CT199" s="229"/>
      <c r="CU199" s="229"/>
      <c r="CV199" s="229"/>
      <c r="CW199" s="229"/>
    </row>
    <row r="200" ht="15.75" hidden="1" customHeight="1">
      <c r="CD200" s="64"/>
      <c r="CE200" s="65"/>
      <c r="CF200" s="62"/>
      <c r="CG200" s="62"/>
      <c r="CH200" s="66"/>
      <c r="CI200" s="54"/>
      <c r="CJ200" s="54"/>
      <c r="CK200" s="67"/>
      <c r="CL200" s="78"/>
      <c r="CM200" s="70"/>
      <c r="CN200" s="229"/>
      <c r="CO200" s="229"/>
      <c r="CP200" s="229"/>
      <c r="CQ200" s="229"/>
      <c r="CR200" s="229"/>
      <c r="CS200" s="229"/>
      <c r="CT200" s="229"/>
      <c r="CU200" s="229"/>
      <c r="CV200" s="229"/>
      <c r="CW200" s="229"/>
    </row>
    <row r="201" ht="15.75" hidden="1" customHeight="1">
      <c r="CD201" s="64"/>
      <c r="CE201" s="65"/>
      <c r="CF201" s="62"/>
      <c r="CG201" s="62"/>
      <c r="CH201" s="66"/>
      <c r="CI201" s="54"/>
      <c r="CJ201" s="54"/>
      <c r="CK201" s="67"/>
      <c r="CL201" s="78"/>
      <c r="CM201" s="70"/>
      <c r="CN201" s="229"/>
      <c r="CO201" s="229"/>
      <c r="CP201" s="229"/>
      <c r="CQ201" s="229"/>
      <c r="CR201" s="229"/>
      <c r="CS201" s="229"/>
      <c r="CT201" s="229"/>
      <c r="CU201" s="229"/>
      <c r="CV201" s="229"/>
      <c r="CW201" s="229"/>
    </row>
    <row r="202" ht="15.75" hidden="1" customHeight="1">
      <c r="CD202" s="64"/>
      <c r="CE202" s="65"/>
      <c r="CF202" s="62"/>
      <c r="CG202" s="62"/>
      <c r="CH202" s="66"/>
      <c r="CI202" s="54"/>
      <c r="CJ202" s="54"/>
      <c r="CK202" s="67"/>
      <c r="CL202" s="78"/>
      <c r="CM202" s="70"/>
      <c r="CN202" s="229"/>
      <c r="CO202" s="229"/>
      <c r="CP202" s="229"/>
      <c r="CQ202" s="229"/>
      <c r="CR202" s="229"/>
      <c r="CS202" s="229"/>
      <c r="CT202" s="229"/>
      <c r="CU202" s="229"/>
      <c r="CV202" s="229"/>
      <c r="CW202" s="229"/>
    </row>
    <row r="203" ht="15.75" hidden="1" customHeight="1">
      <c r="CD203" s="64"/>
      <c r="CE203" s="65"/>
      <c r="CF203" s="62"/>
      <c r="CG203" s="62"/>
      <c r="CH203" s="66"/>
      <c r="CI203" s="54"/>
      <c r="CJ203" s="54"/>
      <c r="CK203" s="67"/>
      <c r="CL203" s="78"/>
      <c r="CM203" s="70"/>
      <c r="CN203" s="229"/>
      <c r="CO203" s="229"/>
      <c r="CP203" s="229"/>
      <c r="CQ203" s="229"/>
      <c r="CR203" s="229"/>
      <c r="CS203" s="229"/>
      <c r="CT203" s="229"/>
      <c r="CU203" s="229"/>
      <c r="CV203" s="229"/>
      <c r="CW203" s="229"/>
    </row>
    <row r="204" ht="15.75" hidden="1" customHeight="1">
      <c r="CD204" s="64"/>
      <c r="CE204" s="65"/>
      <c r="CF204" s="62"/>
      <c r="CG204" s="62"/>
      <c r="CH204" s="66"/>
      <c r="CI204" s="54"/>
      <c r="CJ204" s="54"/>
      <c r="CK204" s="67"/>
      <c r="CL204" s="78"/>
      <c r="CM204" s="70"/>
      <c r="CN204" s="229"/>
      <c r="CO204" s="229"/>
      <c r="CP204" s="229"/>
      <c r="CQ204" s="229"/>
      <c r="CR204" s="229"/>
      <c r="CS204" s="229"/>
      <c r="CT204" s="229"/>
      <c r="CU204" s="229"/>
      <c r="CV204" s="229"/>
      <c r="CW204" s="229"/>
    </row>
    <row r="205" ht="15.75" hidden="1" customHeight="1">
      <c r="CD205" s="64"/>
      <c r="CE205" s="65"/>
      <c r="CF205" s="62"/>
      <c r="CG205" s="62"/>
      <c r="CH205" s="66"/>
      <c r="CI205" s="54"/>
      <c r="CJ205" s="54"/>
      <c r="CK205" s="67"/>
      <c r="CL205" s="78"/>
      <c r="CM205" s="70"/>
      <c r="CN205" s="229"/>
      <c r="CO205" s="229"/>
      <c r="CP205" s="229"/>
      <c r="CQ205" s="229"/>
      <c r="CR205" s="229"/>
      <c r="CS205" s="229"/>
      <c r="CT205" s="229"/>
      <c r="CU205" s="229"/>
      <c r="CV205" s="229"/>
      <c r="CW205" s="229"/>
    </row>
    <row r="206" ht="15.75" hidden="1" customHeight="1">
      <c r="CD206" s="64"/>
      <c r="CE206" s="65"/>
      <c r="CF206" s="62"/>
      <c r="CG206" s="62"/>
      <c r="CH206" s="66"/>
      <c r="CI206" s="54"/>
      <c r="CJ206" s="54"/>
      <c r="CK206" s="67"/>
      <c r="CL206" s="78"/>
      <c r="CM206" s="70"/>
      <c r="CN206" s="229"/>
      <c r="CO206" s="229"/>
      <c r="CP206" s="229"/>
      <c r="CQ206" s="229"/>
      <c r="CR206" s="229"/>
      <c r="CS206" s="229"/>
      <c r="CT206" s="229"/>
      <c r="CU206" s="229"/>
      <c r="CV206" s="229"/>
      <c r="CW206" s="229"/>
    </row>
    <row r="207" ht="15.75" hidden="1" customHeight="1">
      <c r="CD207" s="64"/>
      <c r="CE207" s="65"/>
      <c r="CF207" s="62"/>
      <c r="CG207" s="62"/>
      <c r="CH207" s="66"/>
      <c r="CI207" s="54"/>
      <c r="CJ207" s="54"/>
      <c r="CK207" s="67"/>
      <c r="CL207" s="78"/>
      <c r="CM207" s="70"/>
      <c r="CN207" s="229"/>
      <c r="CO207" s="229"/>
      <c r="CP207" s="229"/>
      <c r="CQ207" s="229"/>
      <c r="CR207" s="229"/>
      <c r="CS207" s="229"/>
      <c r="CT207" s="229"/>
      <c r="CU207" s="229"/>
      <c r="CV207" s="229"/>
      <c r="CW207" s="229"/>
    </row>
    <row r="208" ht="15.75" hidden="1" customHeight="1">
      <c r="CD208" s="64"/>
      <c r="CE208" s="65"/>
      <c r="CF208" s="62"/>
      <c r="CG208" s="62"/>
      <c r="CH208" s="66"/>
      <c r="CI208" s="54"/>
      <c r="CJ208" s="54"/>
      <c r="CK208" s="67"/>
      <c r="CL208" s="78"/>
      <c r="CM208" s="70"/>
      <c r="CN208" s="229"/>
      <c r="CO208" s="229"/>
      <c r="CP208" s="229"/>
      <c r="CQ208" s="229"/>
      <c r="CR208" s="229"/>
      <c r="CS208" s="229"/>
      <c r="CT208" s="229"/>
      <c r="CU208" s="229"/>
      <c r="CV208" s="229"/>
      <c r="CW208" s="229"/>
    </row>
    <row r="209" ht="15.75" hidden="1" customHeight="1">
      <c r="CD209" s="64"/>
      <c r="CE209" s="65"/>
      <c r="CF209" s="62"/>
      <c r="CG209" s="62"/>
      <c r="CH209" s="66"/>
      <c r="CI209" s="54"/>
      <c r="CJ209" s="54"/>
      <c r="CK209" s="67"/>
      <c r="CL209" s="78"/>
      <c r="CM209" s="70"/>
      <c r="CN209" s="229"/>
      <c r="CO209" s="229"/>
      <c r="CP209" s="229"/>
      <c r="CQ209" s="229"/>
      <c r="CR209" s="229"/>
      <c r="CS209" s="229"/>
      <c r="CT209" s="229"/>
      <c r="CU209" s="229"/>
      <c r="CV209" s="229"/>
      <c r="CW209" s="229"/>
    </row>
    <row r="210" ht="15.75" hidden="1" customHeight="1">
      <c r="CD210" s="64"/>
      <c r="CE210" s="65"/>
      <c r="CF210" s="62"/>
      <c r="CG210" s="62"/>
      <c r="CH210" s="66"/>
      <c r="CI210" s="54"/>
      <c r="CJ210" s="54"/>
      <c r="CK210" s="67"/>
      <c r="CL210" s="78"/>
      <c r="CM210" s="70"/>
      <c r="CN210" s="229"/>
      <c r="CO210" s="229"/>
      <c r="CP210" s="229"/>
      <c r="CQ210" s="229"/>
      <c r="CR210" s="229"/>
      <c r="CS210" s="229"/>
      <c r="CT210" s="229"/>
      <c r="CU210" s="229"/>
      <c r="CV210" s="229"/>
      <c r="CW210" s="229"/>
    </row>
    <row r="211" ht="15.75" hidden="1" customHeight="1">
      <c r="CD211" s="64"/>
      <c r="CE211" s="65"/>
      <c r="CF211" s="62"/>
      <c r="CG211" s="62"/>
      <c r="CH211" s="66"/>
      <c r="CI211" s="54"/>
      <c r="CJ211" s="54"/>
      <c r="CK211" s="67"/>
      <c r="CL211" s="78"/>
      <c r="CM211" s="70"/>
      <c r="CN211" s="229"/>
      <c r="CO211" s="229"/>
      <c r="CP211" s="229"/>
      <c r="CQ211" s="229"/>
      <c r="CR211" s="229"/>
      <c r="CS211" s="229"/>
      <c r="CT211" s="229"/>
      <c r="CU211" s="229"/>
      <c r="CV211" s="229"/>
      <c r="CW211" s="229"/>
    </row>
    <row r="212" ht="15.75" hidden="1" customHeight="1">
      <c r="CD212" s="64"/>
      <c r="CE212" s="65"/>
      <c r="CF212" s="62"/>
      <c r="CG212" s="62"/>
      <c r="CH212" s="66"/>
      <c r="CI212" s="54"/>
      <c r="CJ212" s="54"/>
      <c r="CK212" s="67"/>
      <c r="CL212" s="78"/>
      <c r="CM212" s="70"/>
      <c r="CN212" s="229"/>
      <c r="CO212" s="229"/>
      <c r="CP212" s="229"/>
      <c r="CQ212" s="229"/>
      <c r="CR212" s="229"/>
      <c r="CS212" s="229"/>
      <c r="CT212" s="229"/>
      <c r="CU212" s="229"/>
      <c r="CV212" s="229"/>
      <c r="CW212" s="229"/>
    </row>
    <row r="213" ht="15.75" hidden="1" customHeight="1">
      <c r="CD213" s="64"/>
      <c r="CE213" s="65"/>
      <c r="CF213" s="62"/>
      <c r="CG213" s="62"/>
      <c r="CH213" s="66"/>
      <c r="CI213" s="54"/>
      <c r="CJ213" s="54"/>
      <c r="CK213" s="67"/>
      <c r="CL213" s="78"/>
      <c r="CM213" s="70"/>
      <c r="CN213" s="229"/>
      <c r="CO213" s="229"/>
      <c r="CP213" s="229"/>
      <c r="CQ213" s="229"/>
      <c r="CR213" s="229"/>
      <c r="CS213" s="229"/>
      <c r="CT213" s="229"/>
      <c r="CU213" s="229"/>
      <c r="CV213" s="229"/>
      <c r="CW213" s="229"/>
    </row>
    <row r="214" ht="15.75" hidden="1" customHeight="1">
      <c r="CD214" s="64"/>
      <c r="CE214" s="65"/>
      <c r="CF214" s="62"/>
      <c r="CG214" s="62"/>
      <c r="CH214" s="66"/>
      <c r="CI214" s="54"/>
      <c r="CJ214" s="54"/>
      <c r="CK214" s="67"/>
      <c r="CL214" s="78"/>
      <c r="CM214" s="70"/>
      <c r="CN214" s="229"/>
      <c r="CO214" s="229"/>
      <c r="CP214" s="229"/>
      <c r="CQ214" s="229"/>
      <c r="CR214" s="229"/>
      <c r="CS214" s="229"/>
      <c r="CT214" s="229"/>
      <c r="CU214" s="229"/>
      <c r="CV214" s="229"/>
      <c r="CW214" s="229"/>
    </row>
    <row r="215" ht="15.75" hidden="1" customHeight="1">
      <c r="CD215" s="64"/>
      <c r="CE215" s="65"/>
      <c r="CF215" s="55"/>
      <c r="CG215" s="55"/>
      <c r="CH215" s="66"/>
      <c r="CI215" s="54"/>
      <c r="CJ215" s="54"/>
      <c r="CK215" s="67"/>
      <c r="CL215" s="78"/>
      <c r="CM215" s="70"/>
      <c r="CN215" s="229"/>
      <c r="CO215" s="229"/>
      <c r="CP215" s="229"/>
      <c r="CQ215" s="229"/>
      <c r="CR215" s="229"/>
      <c r="CS215" s="229"/>
      <c r="CT215" s="229"/>
      <c r="CU215" s="229"/>
      <c r="CV215" s="229"/>
      <c r="CW215" s="229"/>
    </row>
    <row r="216" ht="15.75" hidden="1" customHeight="1">
      <c r="CD216" s="45"/>
      <c r="CE216" s="46"/>
      <c r="CF216" s="46"/>
      <c r="CG216" s="46"/>
      <c r="CH216" s="46"/>
      <c r="CI216" s="46"/>
      <c r="CJ216" s="46"/>
      <c r="CK216" s="46"/>
      <c r="CL216" s="46"/>
      <c r="CM216" s="106"/>
      <c r="CN216" s="229"/>
      <c r="CO216" s="229"/>
      <c r="CP216" s="229"/>
      <c r="CQ216" s="229"/>
      <c r="CR216" s="229"/>
      <c r="CS216" s="229"/>
      <c r="CT216" s="229"/>
      <c r="CU216" s="229"/>
      <c r="CV216" s="229"/>
      <c r="CW216" s="229"/>
    </row>
    <row r="217" ht="15.75" hidden="1" customHeight="1">
      <c r="CD217" s="64"/>
      <c r="CE217" s="54"/>
      <c r="CF217" s="55"/>
      <c r="CG217" s="55"/>
      <c r="CH217" s="54"/>
      <c r="CI217" s="54"/>
      <c r="CJ217" s="54"/>
      <c r="CK217" s="16"/>
      <c r="CL217" s="55"/>
      <c r="CM217" s="70"/>
      <c r="CN217" s="229"/>
      <c r="CO217" s="229"/>
      <c r="CP217" s="229"/>
      <c r="CQ217" s="229"/>
      <c r="CR217" s="229"/>
      <c r="CS217" s="229"/>
      <c r="CT217" s="229"/>
      <c r="CU217" s="229"/>
      <c r="CV217" s="229"/>
      <c r="CW217" s="229"/>
    </row>
    <row r="218" ht="15.75" hidden="1" customHeight="1">
      <c r="CD218" s="64"/>
      <c r="CE218" s="109"/>
      <c r="CF218" s="55"/>
      <c r="CG218" s="55"/>
      <c r="CH218" s="54"/>
      <c r="CI218" s="54"/>
      <c r="CJ218" s="54"/>
      <c r="CK218" s="54"/>
      <c r="CL218" s="55"/>
      <c r="CM218" s="70"/>
      <c r="CN218" s="229"/>
      <c r="CO218" s="229"/>
      <c r="CP218" s="229"/>
      <c r="CQ218" s="229"/>
      <c r="CR218" s="229"/>
      <c r="CS218" s="229"/>
      <c r="CT218" s="229"/>
      <c r="CU218" s="229"/>
      <c r="CV218" s="229"/>
      <c r="CW218" s="229"/>
    </row>
    <row r="219" ht="15.75" hidden="1" customHeight="1">
      <c r="CD219" s="115"/>
      <c r="CE219" s="119"/>
      <c r="CF219" s="120"/>
      <c r="CG219" s="116"/>
      <c r="CH219" s="117"/>
      <c r="CI219" s="116"/>
      <c r="CJ219" s="118"/>
      <c r="CK219" s="117"/>
      <c r="CL219" s="55"/>
      <c r="CM219" s="70"/>
      <c r="CN219" s="229"/>
      <c r="CO219" s="229"/>
      <c r="CP219" s="229"/>
      <c r="CQ219" s="229"/>
      <c r="CR219" s="229"/>
      <c r="CS219" s="229"/>
      <c r="CT219" s="229"/>
      <c r="CU219" s="229"/>
      <c r="CV219" s="229"/>
      <c r="CW219" s="229"/>
    </row>
    <row r="220" ht="15.75" hidden="1" customHeight="1">
      <c r="CD220" s="127"/>
      <c r="CE220" s="128"/>
      <c r="CF220" s="126"/>
      <c r="CG220" s="128"/>
      <c r="CH220" s="126"/>
      <c r="CI220" s="129"/>
      <c r="CJ220" s="130"/>
      <c r="CK220" s="131"/>
      <c r="CL220" s="55"/>
      <c r="CM220" s="40"/>
      <c r="CN220" s="229"/>
      <c r="CO220" s="229"/>
      <c r="CP220" s="229"/>
      <c r="CQ220" s="229"/>
      <c r="CR220" s="229"/>
      <c r="CS220" s="229"/>
      <c r="CT220" s="229"/>
      <c r="CU220" s="229"/>
      <c r="CV220" s="229"/>
      <c r="CW220" s="229"/>
    </row>
    <row r="221" ht="15.75" hidden="1" customHeight="1">
      <c r="CD221" s="127"/>
      <c r="CE221" s="128"/>
      <c r="CF221" s="126"/>
      <c r="CG221" s="128"/>
      <c r="CH221" s="126"/>
      <c r="CI221" s="129"/>
      <c r="CJ221" s="130"/>
      <c r="CK221" s="131"/>
      <c r="CL221" s="55"/>
      <c r="CM221" s="40"/>
      <c r="CN221" s="229"/>
      <c r="CO221" s="229"/>
      <c r="CP221" s="229"/>
      <c r="CQ221" s="229"/>
      <c r="CR221" s="229"/>
      <c r="CS221" s="229"/>
      <c r="CT221" s="229"/>
      <c r="CU221" s="229"/>
      <c r="CV221" s="229"/>
      <c r="CW221" s="229"/>
    </row>
    <row r="222" ht="15.75" hidden="1" customHeight="1">
      <c r="CD222" s="127"/>
      <c r="CE222" s="128"/>
      <c r="CF222" s="126"/>
      <c r="CG222" s="128"/>
      <c r="CH222" s="126"/>
      <c r="CI222" s="129"/>
      <c r="CJ222" s="130"/>
      <c r="CK222" s="131"/>
      <c r="CL222" s="55"/>
      <c r="CM222" s="40"/>
      <c r="CN222" s="229"/>
      <c r="CO222" s="229"/>
      <c r="CP222" s="229"/>
      <c r="CQ222" s="229"/>
      <c r="CR222" s="229"/>
      <c r="CS222" s="229"/>
      <c r="CT222" s="229"/>
      <c r="CU222" s="229"/>
      <c r="CV222" s="229"/>
      <c r="CW222" s="229"/>
    </row>
    <row r="223" ht="15.75" hidden="1" customHeight="1">
      <c r="CD223" s="127"/>
      <c r="CE223" s="128"/>
      <c r="CF223" s="126"/>
      <c r="CG223" s="128"/>
      <c r="CH223" s="126"/>
      <c r="CI223" s="129"/>
      <c r="CJ223" s="130"/>
      <c r="CK223" s="131"/>
      <c r="CL223" s="55"/>
      <c r="CM223" s="40"/>
      <c r="CN223" s="229"/>
      <c r="CO223" s="229"/>
      <c r="CP223" s="229"/>
      <c r="CQ223" s="229"/>
      <c r="CR223" s="229"/>
      <c r="CS223" s="229"/>
      <c r="CT223" s="229"/>
      <c r="CU223" s="229"/>
      <c r="CV223" s="229"/>
      <c r="CW223" s="229"/>
    </row>
    <row r="224" ht="15.75" hidden="1" customHeight="1">
      <c r="CD224" s="143"/>
      <c r="CE224" s="128"/>
      <c r="CF224" s="126"/>
      <c r="CG224" s="128"/>
      <c r="CH224" s="126"/>
      <c r="CI224" s="129"/>
      <c r="CJ224" s="130"/>
      <c r="CK224" s="131"/>
      <c r="CL224" s="55"/>
      <c r="CM224" s="40"/>
      <c r="CN224" s="229"/>
      <c r="CO224" s="229"/>
      <c r="CP224" s="229"/>
      <c r="CQ224" s="229"/>
      <c r="CR224" s="229"/>
      <c r="CS224" s="229"/>
      <c r="CT224" s="229"/>
      <c r="CU224" s="229"/>
      <c r="CV224" s="229"/>
      <c r="CW224" s="229"/>
    </row>
    <row r="225" ht="15.75" hidden="1" customHeight="1">
      <c r="CD225" s="143"/>
      <c r="CE225" s="128"/>
      <c r="CF225" s="126"/>
      <c r="CG225" s="128"/>
      <c r="CH225" s="126"/>
      <c r="CI225" s="129"/>
      <c r="CJ225" s="130"/>
      <c r="CK225" s="131"/>
      <c r="CL225" s="55"/>
      <c r="CM225" s="40"/>
      <c r="CN225" s="229"/>
      <c r="CO225" s="229"/>
      <c r="CP225" s="229"/>
      <c r="CQ225" s="229"/>
      <c r="CR225" s="229"/>
      <c r="CS225" s="229"/>
      <c r="CT225" s="229"/>
      <c r="CU225" s="229"/>
      <c r="CV225" s="229"/>
      <c r="CW225" s="229"/>
    </row>
    <row r="226" ht="15.75" hidden="1" customHeight="1">
      <c r="CD226" s="143"/>
      <c r="CE226" s="128"/>
      <c r="CF226" s="126"/>
      <c r="CG226" s="128"/>
      <c r="CH226" s="126"/>
      <c r="CI226" s="129"/>
      <c r="CJ226" s="130"/>
      <c r="CK226" s="131"/>
      <c r="CL226" s="55"/>
      <c r="CM226" s="40"/>
      <c r="CN226" s="229"/>
      <c r="CO226" s="229"/>
      <c r="CP226" s="229"/>
      <c r="CQ226" s="229"/>
      <c r="CR226" s="229"/>
      <c r="CS226" s="229"/>
      <c r="CT226" s="229"/>
      <c r="CU226" s="229"/>
      <c r="CV226" s="229"/>
      <c r="CW226" s="229"/>
    </row>
    <row r="227" ht="15.75" hidden="1" customHeight="1">
      <c r="CD227" s="143"/>
      <c r="CE227" s="128"/>
      <c r="CF227" s="126"/>
      <c r="CG227" s="128"/>
      <c r="CH227" s="126"/>
      <c r="CI227" s="129"/>
      <c r="CJ227" s="130"/>
      <c r="CK227" s="131"/>
      <c r="CL227" s="55"/>
      <c r="CM227" s="40"/>
      <c r="CN227" s="229"/>
      <c r="CO227" s="229"/>
      <c r="CP227" s="229"/>
      <c r="CQ227" s="229"/>
      <c r="CR227" s="229"/>
      <c r="CS227" s="229"/>
      <c r="CT227" s="229"/>
      <c r="CU227" s="229"/>
      <c r="CV227" s="229"/>
      <c r="CW227" s="229"/>
    </row>
    <row r="228" ht="15.75" hidden="1" customHeight="1">
      <c r="CD228" s="145"/>
      <c r="CE228" s="128"/>
      <c r="CF228" s="126"/>
      <c r="CG228" s="128"/>
      <c r="CH228" s="126"/>
      <c r="CI228" s="129"/>
      <c r="CJ228" s="130"/>
      <c r="CK228" s="131"/>
      <c r="CL228" s="55"/>
      <c r="CM228" s="40"/>
      <c r="CN228" s="229"/>
      <c r="CO228" s="229"/>
      <c r="CP228" s="229"/>
      <c r="CQ228" s="229"/>
      <c r="CR228" s="229"/>
      <c r="CS228" s="229"/>
      <c r="CT228" s="229"/>
      <c r="CU228" s="229"/>
      <c r="CV228" s="229"/>
      <c r="CW228" s="229"/>
    </row>
    <row r="229" ht="15.75" hidden="1" customHeight="1">
      <c r="CD229" s="145"/>
      <c r="CE229" s="128"/>
      <c r="CF229" s="126"/>
      <c r="CG229" s="128"/>
      <c r="CH229" s="126"/>
      <c r="CI229" s="129"/>
      <c r="CJ229" s="130"/>
      <c r="CK229" s="131"/>
      <c r="CL229" s="55"/>
      <c r="CM229" s="40"/>
      <c r="CN229" s="229"/>
      <c r="CO229" s="229"/>
      <c r="CP229" s="229"/>
      <c r="CQ229" s="229"/>
      <c r="CR229" s="229"/>
      <c r="CS229" s="229"/>
      <c r="CT229" s="229"/>
      <c r="CU229" s="229"/>
      <c r="CV229" s="229"/>
      <c r="CW229" s="229"/>
    </row>
    <row r="230" ht="15.75" hidden="1" customHeight="1">
      <c r="CD230" s="145"/>
      <c r="CE230" s="128"/>
      <c r="CF230" s="126"/>
      <c r="CG230" s="128"/>
      <c r="CH230" s="126"/>
      <c r="CI230" s="129"/>
      <c r="CJ230" s="130"/>
      <c r="CK230" s="131"/>
      <c r="CL230" s="55"/>
      <c r="CM230" s="40"/>
      <c r="CN230" s="229"/>
      <c r="CO230" s="229"/>
      <c r="CP230" s="229"/>
      <c r="CQ230" s="229"/>
      <c r="CR230" s="229"/>
      <c r="CS230" s="229"/>
      <c r="CT230" s="229"/>
      <c r="CU230" s="229"/>
      <c r="CV230" s="229"/>
      <c r="CW230" s="229"/>
    </row>
    <row r="231" ht="15.75" hidden="1" customHeight="1">
      <c r="CD231" s="145"/>
      <c r="CE231" s="128"/>
      <c r="CF231" s="126"/>
      <c r="CG231" s="128"/>
      <c r="CH231" s="126"/>
      <c r="CI231" s="129"/>
      <c r="CJ231" s="130"/>
      <c r="CK231" s="131"/>
      <c r="CL231" s="55"/>
      <c r="CM231" s="40"/>
      <c r="CN231" s="229"/>
      <c r="CO231" s="229"/>
      <c r="CP231" s="229"/>
      <c r="CQ231" s="229"/>
      <c r="CR231" s="229"/>
      <c r="CS231" s="229"/>
      <c r="CT231" s="229"/>
      <c r="CU231" s="229"/>
      <c r="CV231" s="229"/>
      <c r="CW231" s="229"/>
    </row>
    <row r="232" ht="15.75" hidden="1" customHeight="1">
      <c r="CD232" s="53"/>
      <c r="CE232" s="147"/>
      <c r="CF232" s="118"/>
      <c r="CG232" s="118"/>
      <c r="CH232" s="117"/>
      <c r="CI232" s="148"/>
      <c r="CJ232" s="118"/>
      <c r="CK232" s="117"/>
      <c r="CL232" s="55"/>
      <c r="CM232" s="40"/>
      <c r="CN232" s="229"/>
      <c r="CO232" s="229"/>
      <c r="CP232" s="229"/>
      <c r="CQ232" s="229"/>
      <c r="CR232" s="229"/>
      <c r="CS232" s="229"/>
      <c r="CT232" s="229"/>
      <c r="CU232" s="229"/>
      <c r="CV232" s="229"/>
      <c r="CW232" s="229"/>
    </row>
    <row r="233" ht="15.75" hidden="1" customHeight="1">
      <c r="CD233" s="53"/>
      <c r="CE233" s="54"/>
      <c r="CF233" s="55"/>
      <c r="CG233" s="55"/>
      <c r="CH233" s="54"/>
      <c r="CI233" s="54"/>
      <c r="CJ233" s="54"/>
      <c r="CK233" s="16"/>
      <c r="CL233" s="55"/>
      <c r="CM233" s="153"/>
      <c r="CN233" s="229"/>
      <c r="CO233" s="229"/>
      <c r="CP233" s="229"/>
      <c r="CQ233" s="229"/>
      <c r="CR233" s="229"/>
      <c r="CS233" s="229"/>
      <c r="CT233" s="229"/>
      <c r="CU233" s="229"/>
      <c r="CV233" s="229"/>
      <c r="CW233" s="229"/>
    </row>
    <row r="234" ht="15.75" hidden="1" customHeight="1">
      <c r="CD234" s="53"/>
      <c r="CE234" s="54"/>
      <c r="CF234" s="55"/>
      <c r="CG234" s="55"/>
      <c r="CH234" s="54"/>
      <c r="CI234" s="54"/>
      <c r="CJ234" s="54"/>
      <c r="CK234" s="16"/>
      <c r="CL234" s="55"/>
      <c r="CM234" s="70"/>
      <c r="CN234" s="229"/>
      <c r="CO234" s="229"/>
      <c r="CP234" s="229"/>
      <c r="CQ234" s="229"/>
      <c r="CR234" s="229"/>
      <c r="CS234" s="229"/>
      <c r="CT234" s="229"/>
      <c r="CU234" s="229"/>
      <c r="CV234" s="229"/>
      <c r="CW234" s="229"/>
    </row>
    <row r="235" ht="15.75" hidden="1" customHeight="1">
      <c r="CD235" s="53"/>
      <c r="CE235" s="161"/>
      <c r="CF235" s="162"/>
      <c r="CG235" s="158"/>
      <c r="CH235" s="163"/>
      <c r="CI235" s="162"/>
      <c r="CJ235" s="158"/>
      <c r="CK235" s="54"/>
      <c r="CL235" s="164"/>
      <c r="CM235" s="153"/>
      <c r="CN235" s="229"/>
      <c r="CO235" s="229"/>
      <c r="CP235" s="229"/>
      <c r="CQ235" s="229"/>
      <c r="CR235" s="229"/>
      <c r="CS235" s="229"/>
      <c r="CT235" s="229"/>
      <c r="CU235" s="229"/>
      <c r="CV235" s="229"/>
      <c r="CW235" s="229"/>
    </row>
    <row r="236" ht="15.75" hidden="1" customHeight="1">
      <c r="CD236" s="53"/>
      <c r="CE236" s="169"/>
      <c r="CF236" s="77"/>
      <c r="CG236" s="77"/>
      <c r="CH236" s="170"/>
      <c r="CI236" s="171"/>
      <c r="CJ236" s="171"/>
      <c r="CK236" s="172"/>
      <c r="CL236" s="40"/>
      <c r="CM236" s="40"/>
      <c r="CN236" s="229"/>
      <c r="CO236" s="229"/>
      <c r="CP236" s="229"/>
      <c r="CQ236" s="229"/>
      <c r="CR236" s="229"/>
      <c r="CS236" s="229"/>
      <c r="CT236" s="229"/>
      <c r="CU236" s="229"/>
      <c r="CV236" s="229"/>
      <c r="CW236" s="229"/>
    </row>
    <row r="237" ht="15.75" hidden="1" customHeight="1">
      <c r="CD237" s="53"/>
      <c r="CE237" s="169"/>
      <c r="CF237" s="77"/>
      <c r="CG237" s="77"/>
      <c r="CH237" s="170"/>
      <c r="CI237" s="175"/>
      <c r="CJ237" s="175"/>
      <c r="CK237" s="172"/>
      <c r="CL237" s="40"/>
      <c r="CM237" s="40"/>
      <c r="CN237" s="229"/>
      <c r="CO237" s="229"/>
      <c r="CP237" s="229"/>
      <c r="CQ237" s="229"/>
      <c r="CR237" s="229"/>
      <c r="CS237" s="229"/>
      <c r="CT237" s="229"/>
      <c r="CU237" s="229"/>
      <c r="CV237" s="229"/>
      <c r="CW237" s="229"/>
    </row>
    <row r="238" ht="15.75" hidden="1" customHeight="1">
      <c r="CD238" s="53"/>
      <c r="CE238" s="169"/>
      <c r="CF238" s="77"/>
      <c r="CG238" s="77"/>
      <c r="CH238" s="170"/>
      <c r="CI238" s="175"/>
      <c r="CJ238" s="175"/>
      <c r="CK238" s="172"/>
      <c r="CL238" s="40"/>
      <c r="CM238" s="40"/>
      <c r="CN238" s="229"/>
      <c r="CO238" s="229"/>
      <c r="CP238" s="229"/>
      <c r="CQ238" s="229"/>
      <c r="CR238" s="229"/>
      <c r="CS238" s="229"/>
      <c r="CT238" s="229"/>
      <c r="CU238" s="229"/>
      <c r="CV238" s="229"/>
      <c r="CW238" s="229"/>
    </row>
    <row r="239" ht="15.75" hidden="1" customHeight="1">
      <c r="CD239" s="53"/>
      <c r="CE239" s="169"/>
      <c r="CF239" s="77"/>
      <c r="CG239" s="77"/>
      <c r="CH239" s="170"/>
      <c r="CI239" s="175"/>
      <c r="CJ239" s="175"/>
      <c r="CK239" s="172"/>
      <c r="CL239" s="40"/>
      <c r="CM239" s="40"/>
      <c r="CN239" s="229"/>
      <c r="CO239" s="229"/>
      <c r="CP239" s="229"/>
      <c r="CQ239" s="229"/>
      <c r="CR239" s="229"/>
      <c r="CS239" s="229"/>
      <c r="CT239" s="229"/>
      <c r="CU239" s="229"/>
      <c r="CV239" s="229"/>
      <c r="CW239" s="229"/>
    </row>
    <row r="240" ht="15.75" hidden="1" customHeight="1">
      <c r="CD240" s="53"/>
      <c r="CE240" s="169"/>
      <c r="CF240" s="77"/>
      <c r="CG240" s="77"/>
      <c r="CH240" s="170"/>
      <c r="CI240" s="175"/>
      <c r="CJ240" s="175"/>
      <c r="CK240" s="172"/>
      <c r="CL240" s="40"/>
      <c r="CM240" s="40"/>
      <c r="CN240" s="229"/>
      <c r="CO240" s="229"/>
      <c r="CP240" s="229"/>
      <c r="CQ240" s="229"/>
      <c r="CR240" s="229"/>
      <c r="CS240" s="229"/>
      <c r="CT240" s="229"/>
      <c r="CU240" s="229"/>
      <c r="CV240" s="229"/>
      <c r="CW240" s="229"/>
    </row>
    <row r="241" ht="15.75" hidden="1" customHeight="1">
      <c r="CD241" s="53"/>
      <c r="CE241" s="169"/>
      <c r="CF241" s="77"/>
      <c r="CG241" s="77"/>
      <c r="CH241" s="170"/>
      <c r="CI241" s="175"/>
      <c r="CJ241" s="175"/>
      <c r="CK241" s="172"/>
      <c r="CL241" s="40"/>
      <c r="CM241" s="40"/>
      <c r="CN241" s="229"/>
      <c r="CO241" s="229"/>
      <c r="CP241" s="229"/>
      <c r="CQ241" s="229"/>
      <c r="CR241" s="229"/>
      <c r="CS241" s="229"/>
      <c r="CT241" s="229"/>
      <c r="CU241" s="229"/>
      <c r="CV241" s="229"/>
      <c r="CW241" s="229"/>
    </row>
    <row r="242" ht="15.75" hidden="1" customHeight="1">
      <c r="CD242" s="53"/>
      <c r="CE242" s="169"/>
      <c r="CF242" s="77"/>
      <c r="CG242" s="77"/>
      <c r="CH242" s="170"/>
      <c r="CI242" s="175"/>
      <c r="CJ242" s="175"/>
      <c r="CK242" s="172"/>
      <c r="CL242" s="40"/>
      <c r="CM242" s="40"/>
      <c r="CN242" s="229"/>
      <c r="CO242" s="229"/>
      <c r="CP242" s="229"/>
      <c r="CQ242" s="229"/>
      <c r="CR242" s="229"/>
      <c r="CS242" s="229"/>
      <c r="CT242" s="229"/>
      <c r="CU242" s="229"/>
      <c r="CV242" s="229"/>
      <c r="CW242" s="229"/>
    </row>
    <row r="243" ht="15.75" hidden="1" customHeight="1">
      <c r="CD243" s="53"/>
      <c r="CE243" s="169"/>
      <c r="CF243" s="77"/>
      <c r="CG243" s="77"/>
      <c r="CH243" s="170"/>
      <c r="CI243" s="175"/>
      <c r="CJ243" s="175"/>
      <c r="CK243" s="172"/>
      <c r="CL243" s="40"/>
      <c r="CM243" s="40"/>
      <c r="CN243" s="229"/>
      <c r="CO243" s="229"/>
      <c r="CP243" s="229"/>
      <c r="CQ243" s="229"/>
      <c r="CR243" s="229"/>
      <c r="CS243" s="229"/>
      <c r="CT243" s="229"/>
      <c r="CU243" s="229"/>
      <c r="CV243" s="229"/>
      <c r="CW243" s="229"/>
    </row>
    <row r="244" ht="15.75" hidden="1" customHeight="1">
      <c r="CD244" s="53"/>
      <c r="CE244" s="169"/>
      <c r="CF244" s="77"/>
      <c r="CG244" s="77"/>
      <c r="CH244" s="170"/>
      <c r="CI244" s="175"/>
      <c r="CJ244" s="175"/>
      <c r="CK244" s="172"/>
      <c r="CL244" s="40"/>
      <c r="CM244" s="40"/>
      <c r="CN244" s="229"/>
      <c r="CO244" s="229"/>
      <c r="CP244" s="229"/>
      <c r="CQ244" s="229"/>
      <c r="CR244" s="229"/>
      <c r="CS244" s="229"/>
      <c r="CT244" s="229"/>
      <c r="CU244" s="229"/>
      <c r="CV244" s="229"/>
      <c r="CW244" s="229"/>
    </row>
    <row r="245" ht="15.75" hidden="1" customHeight="1">
      <c r="CD245" s="53"/>
      <c r="CE245" s="169"/>
      <c r="CF245" s="77"/>
      <c r="CG245" s="77"/>
      <c r="CH245" s="170"/>
      <c r="CI245" s="175"/>
      <c r="CJ245" s="175"/>
      <c r="CK245" s="172"/>
      <c r="CL245" s="40"/>
      <c r="CM245" s="40"/>
      <c r="CN245" s="229"/>
      <c r="CO245" s="229"/>
      <c r="CP245" s="229"/>
      <c r="CQ245" s="229"/>
      <c r="CR245" s="229"/>
      <c r="CS245" s="229"/>
      <c r="CT245" s="229"/>
      <c r="CU245" s="229"/>
      <c r="CV245" s="229"/>
      <c r="CW245" s="229"/>
    </row>
    <row r="246" ht="15.75" hidden="1" customHeight="1">
      <c r="CD246" s="53"/>
      <c r="CE246" s="169"/>
      <c r="CF246" s="77"/>
      <c r="CG246" s="77"/>
      <c r="CH246" s="170"/>
      <c r="CI246" s="175"/>
      <c r="CJ246" s="175"/>
      <c r="CK246" s="172"/>
      <c r="CL246" s="40"/>
      <c r="CM246" s="40"/>
      <c r="CN246" s="229"/>
      <c r="CO246" s="229"/>
      <c r="CP246" s="229"/>
      <c r="CQ246" s="229"/>
      <c r="CR246" s="229"/>
      <c r="CS246" s="229"/>
      <c r="CT246" s="229"/>
      <c r="CU246" s="229"/>
      <c r="CV246" s="229"/>
      <c r="CW246" s="229"/>
    </row>
    <row r="247" ht="15.75" hidden="1" customHeight="1">
      <c r="CD247" s="53"/>
      <c r="CE247" s="169"/>
      <c r="CF247" s="77"/>
      <c r="CG247" s="77"/>
      <c r="CH247" s="170"/>
      <c r="CI247" s="175"/>
      <c r="CJ247" s="175"/>
      <c r="CK247" s="172"/>
      <c r="CL247" s="40"/>
      <c r="CM247" s="40"/>
      <c r="CN247" s="229"/>
      <c r="CO247" s="229"/>
      <c r="CP247" s="229"/>
      <c r="CQ247" s="229"/>
      <c r="CR247" s="229"/>
      <c r="CS247" s="229"/>
      <c r="CT247" s="229"/>
      <c r="CU247" s="229"/>
      <c r="CV247" s="229"/>
      <c r="CW247" s="229"/>
    </row>
    <row r="248" ht="15.75" hidden="1" customHeight="1">
      <c r="CD248" s="53"/>
      <c r="CE248" s="169"/>
      <c r="CF248" s="77"/>
      <c r="CG248" s="77"/>
      <c r="CH248" s="170"/>
      <c r="CI248" s="175"/>
      <c r="CJ248" s="175"/>
      <c r="CK248" s="172"/>
      <c r="CL248" s="40"/>
      <c r="CM248" s="40"/>
      <c r="CN248" s="229"/>
      <c r="CO248" s="229"/>
      <c r="CP248" s="229"/>
      <c r="CQ248" s="229"/>
      <c r="CR248" s="229"/>
      <c r="CS248" s="229"/>
      <c r="CT248" s="229"/>
      <c r="CU248" s="229"/>
      <c r="CV248" s="229"/>
      <c r="CW248" s="229"/>
    </row>
    <row r="249" ht="15.75" hidden="1" customHeight="1">
      <c r="CD249" s="53"/>
      <c r="CE249" s="169"/>
      <c r="CF249" s="77"/>
      <c r="CG249" s="77"/>
      <c r="CH249" s="170"/>
      <c r="CI249" s="175"/>
      <c r="CJ249" s="175"/>
      <c r="CK249" s="172"/>
      <c r="CL249" s="40"/>
      <c r="CM249" s="40"/>
      <c r="CN249" s="229"/>
      <c r="CO249" s="229"/>
      <c r="CP249" s="229"/>
      <c r="CQ249" s="229"/>
      <c r="CR249" s="229"/>
      <c r="CS249" s="229"/>
      <c r="CT249" s="229"/>
      <c r="CU249" s="229"/>
      <c r="CV249" s="229"/>
      <c r="CW249" s="229"/>
    </row>
    <row r="250" ht="15.75" hidden="1" customHeight="1">
      <c r="CD250" s="53"/>
      <c r="CE250" s="169"/>
      <c r="CF250" s="77"/>
      <c r="CG250" s="77"/>
      <c r="CH250" s="170"/>
      <c r="CI250" s="175"/>
      <c r="CJ250" s="175"/>
      <c r="CK250" s="172"/>
      <c r="CL250" s="40"/>
      <c r="CM250" s="40"/>
      <c r="CN250" s="229"/>
      <c r="CO250" s="229"/>
      <c r="CP250" s="229"/>
      <c r="CQ250" s="229"/>
      <c r="CR250" s="229"/>
      <c r="CS250" s="229"/>
      <c r="CT250" s="229"/>
      <c r="CU250" s="229"/>
      <c r="CV250" s="229"/>
      <c r="CW250" s="229"/>
    </row>
    <row r="251" ht="15.75" hidden="1" customHeight="1">
      <c r="CD251" s="53"/>
      <c r="CE251" s="169"/>
      <c r="CF251" s="77"/>
      <c r="CG251" s="77"/>
      <c r="CH251" s="170"/>
      <c r="CI251" s="175"/>
      <c r="CJ251" s="175"/>
      <c r="CK251" s="172"/>
      <c r="CL251" s="40"/>
      <c r="CM251" s="40"/>
      <c r="CN251" s="229"/>
      <c r="CO251" s="229"/>
      <c r="CP251" s="229"/>
      <c r="CQ251" s="229"/>
      <c r="CR251" s="229"/>
      <c r="CS251" s="229"/>
      <c r="CT251" s="229"/>
      <c r="CU251" s="229"/>
      <c r="CV251" s="229"/>
      <c r="CW251" s="229"/>
    </row>
    <row r="252" ht="15.75" hidden="1" customHeight="1">
      <c r="CD252" s="53"/>
      <c r="CE252" s="180"/>
      <c r="CF252" s="77"/>
      <c r="CG252" s="77"/>
      <c r="CH252" s="181"/>
      <c r="CI252" s="182"/>
      <c r="CJ252" s="182"/>
      <c r="CK252" s="172"/>
      <c r="CL252" s="40"/>
      <c r="CM252" s="40"/>
      <c r="CN252" s="229"/>
      <c r="CO252" s="229"/>
      <c r="CP252" s="229"/>
      <c r="CQ252" s="229"/>
      <c r="CR252" s="229"/>
      <c r="CS252" s="229"/>
      <c r="CT252" s="229"/>
      <c r="CU252" s="229"/>
      <c r="CV252" s="229"/>
      <c r="CW252" s="229"/>
    </row>
    <row r="253" ht="15.75" hidden="1" customHeight="1">
      <c r="CD253" s="53"/>
      <c r="CE253" s="190"/>
      <c r="CF253" s="77"/>
      <c r="CG253" s="77"/>
      <c r="CH253" s="188"/>
      <c r="CI253" s="175"/>
      <c r="CJ253" s="175"/>
      <c r="CK253" s="189"/>
      <c r="CL253" s="40"/>
      <c r="CM253" s="40"/>
      <c r="CN253" s="229"/>
      <c r="CO253" s="229"/>
      <c r="CP253" s="229"/>
      <c r="CQ253" s="229"/>
      <c r="CR253" s="229"/>
      <c r="CS253" s="229"/>
      <c r="CT253" s="229"/>
      <c r="CU253" s="229"/>
      <c r="CV253" s="229"/>
      <c r="CW253" s="229"/>
    </row>
    <row r="254" ht="15.75" hidden="1" customHeight="1">
      <c r="CD254" s="53"/>
      <c r="CE254" s="190"/>
      <c r="CF254" s="77"/>
      <c r="CG254" s="77"/>
      <c r="CH254" s="188"/>
      <c r="CI254" s="175"/>
      <c r="CJ254" s="175"/>
      <c r="CK254" s="192"/>
      <c r="CL254" s="40"/>
      <c r="CM254" s="40"/>
      <c r="CN254" s="229"/>
      <c r="CO254" s="229"/>
      <c r="CP254" s="229"/>
      <c r="CQ254" s="229"/>
      <c r="CR254" s="229"/>
      <c r="CS254" s="229"/>
      <c r="CT254" s="229"/>
      <c r="CU254" s="229"/>
      <c r="CV254" s="229"/>
      <c r="CW254" s="229"/>
    </row>
    <row r="255" ht="15.75" hidden="1" customHeight="1">
      <c r="CD255" s="53"/>
      <c r="CE255" s="190"/>
      <c r="CF255" s="77"/>
      <c r="CG255" s="77"/>
      <c r="CH255" s="188"/>
      <c r="CI255" s="175"/>
      <c r="CJ255" s="175"/>
      <c r="CK255" s="192"/>
      <c r="CL255" s="40"/>
      <c r="CM255" s="40"/>
      <c r="CN255" s="229"/>
      <c r="CO255" s="229"/>
      <c r="CP255" s="229"/>
      <c r="CQ255" s="229"/>
      <c r="CR255" s="229"/>
      <c r="CS255" s="229"/>
      <c r="CT255" s="229"/>
      <c r="CU255" s="229"/>
      <c r="CV255" s="229"/>
      <c r="CW255" s="229"/>
    </row>
    <row r="256" ht="15.75" hidden="1" customHeight="1">
      <c r="CD256" s="53"/>
      <c r="CE256" s="187"/>
      <c r="CF256" s="77"/>
      <c r="CG256" s="77"/>
      <c r="CH256" s="188"/>
      <c r="CI256" s="175"/>
      <c r="CJ256" s="175"/>
      <c r="CK256" s="192"/>
      <c r="CL256" s="40"/>
      <c r="CM256" s="40"/>
      <c r="CN256" s="229"/>
      <c r="CO256" s="229"/>
      <c r="CP256" s="229"/>
      <c r="CQ256" s="229"/>
      <c r="CR256" s="229"/>
      <c r="CS256" s="229"/>
      <c r="CT256" s="229"/>
      <c r="CU256" s="229"/>
      <c r="CV256" s="229"/>
      <c r="CW256" s="229"/>
    </row>
    <row r="257" ht="15.75" hidden="1" customHeight="1">
      <c r="CD257" s="53"/>
      <c r="CE257" s="190"/>
      <c r="CF257" s="77"/>
      <c r="CG257" s="77"/>
      <c r="CH257" s="188"/>
      <c r="CI257" s="175"/>
      <c r="CJ257" s="175"/>
      <c r="CK257" s="192"/>
      <c r="CL257" s="40"/>
      <c r="CM257" s="40"/>
      <c r="CN257" s="229"/>
      <c r="CO257" s="229"/>
      <c r="CP257" s="229"/>
      <c r="CQ257" s="229"/>
      <c r="CR257" s="229"/>
      <c r="CS257" s="229"/>
      <c r="CT257" s="229"/>
      <c r="CU257" s="229"/>
      <c r="CV257" s="229"/>
      <c r="CW257" s="229"/>
    </row>
    <row r="258" ht="15.75" hidden="1" customHeight="1">
      <c r="CD258" s="53"/>
      <c r="CE258" s="190"/>
      <c r="CF258" s="77"/>
      <c r="CG258" s="77"/>
      <c r="CH258" s="188"/>
      <c r="CI258" s="175"/>
      <c r="CJ258" s="175"/>
      <c r="CK258" s="192"/>
      <c r="CL258" s="40"/>
      <c r="CM258" s="40"/>
      <c r="CN258" s="229"/>
      <c r="CO258" s="229"/>
      <c r="CP258" s="229"/>
      <c r="CQ258" s="229"/>
      <c r="CR258" s="229"/>
      <c r="CS258" s="229"/>
      <c r="CT258" s="229"/>
      <c r="CU258" s="229"/>
      <c r="CV258" s="229"/>
      <c r="CW258" s="229"/>
    </row>
    <row r="259" ht="15.75" hidden="1" customHeight="1">
      <c r="CD259" s="53"/>
      <c r="CE259" s="198"/>
      <c r="CF259" s="77"/>
      <c r="CG259" s="77"/>
      <c r="CH259" s="196"/>
      <c r="CI259" s="197"/>
      <c r="CJ259" s="197"/>
      <c r="CK259" s="192"/>
      <c r="CL259" s="40"/>
      <c r="CM259" s="40"/>
      <c r="CN259" s="229"/>
      <c r="CO259" s="229"/>
      <c r="CP259" s="229"/>
      <c r="CQ259" s="229"/>
      <c r="CR259" s="229"/>
      <c r="CS259" s="229"/>
      <c r="CT259" s="229"/>
      <c r="CU259" s="229"/>
      <c r="CV259" s="229"/>
      <c r="CW259" s="229"/>
    </row>
    <row r="260" ht="15.75" hidden="1" customHeight="1">
      <c r="CD260" s="53"/>
      <c r="CE260" s="180"/>
      <c r="CF260" s="201"/>
      <c r="CG260" s="201"/>
      <c r="CH260" s="181"/>
      <c r="CI260" s="182"/>
      <c r="CJ260" s="182"/>
      <c r="CK260" s="192"/>
      <c r="CL260" s="40"/>
      <c r="CM260" s="40"/>
      <c r="CN260" s="229"/>
      <c r="CO260" s="229"/>
      <c r="CP260" s="229"/>
      <c r="CQ260" s="229"/>
      <c r="CR260" s="229"/>
      <c r="CS260" s="229"/>
      <c r="CT260" s="229"/>
      <c r="CU260" s="229"/>
      <c r="CV260" s="229"/>
      <c r="CW260" s="229"/>
    </row>
    <row r="261" ht="15.75" hidden="1" customHeight="1">
      <c r="CD261" s="53"/>
      <c r="CE261" s="187"/>
      <c r="CF261" s="77"/>
      <c r="CG261" s="77"/>
      <c r="CH261" s="188"/>
      <c r="CI261" s="175"/>
      <c r="CJ261" s="175"/>
      <c r="CK261" s="192"/>
      <c r="CL261" s="40"/>
      <c r="CM261" s="40"/>
      <c r="CN261" s="229"/>
      <c r="CO261" s="229"/>
      <c r="CP261" s="229"/>
      <c r="CQ261" s="229"/>
      <c r="CR261" s="229"/>
      <c r="CS261" s="229"/>
      <c r="CT261" s="229"/>
      <c r="CU261" s="229"/>
      <c r="CV261" s="229"/>
      <c r="CW261" s="229"/>
    </row>
    <row r="262" ht="15.75" hidden="1" customHeight="1">
      <c r="CD262" s="53"/>
      <c r="CE262" s="187"/>
      <c r="CF262" s="77"/>
      <c r="CG262" s="77"/>
      <c r="CH262" s="188"/>
      <c r="CI262" s="175"/>
      <c r="CJ262" s="175"/>
      <c r="CK262" s="192"/>
      <c r="CL262" s="40"/>
      <c r="CM262" s="40"/>
      <c r="CN262" s="229"/>
      <c r="CO262" s="229"/>
      <c r="CP262" s="229"/>
      <c r="CQ262" s="229"/>
      <c r="CR262" s="229"/>
      <c r="CS262" s="229"/>
      <c r="CT262" s="229"/>
      <c r="CU262" s="229"/>
      <c r="CV262" s="229"/>
      <c r="CW262" s="229"/>
    </row>
    <row r="263" ht="15.75" hidden="1" customHeight="1">
      <c r="CD263" s="53"/>
      <c r="CE263" s="195"/>
      <c r="CF263" s="77"/>
      <c r="CG263" s="77"/>
      <c r="CH263" s="196"/>
      <c r="CI263" s="197"/>
      <c r="CJ263" s="197"/>
      <c r="CK263" s="192"/>
      <c r="CL263" s="40"/>
      <c r="CM263" s="40"/>
      <c r="CN263" s="229"/>
      <c r="CO263" s="229"/>
      <c r="CP263" s="229"/>
      <c r="CQ263" s="229"/>
      <c r="CR263" s="229"/>
      <c r="CS263" s="229"/>
      <c r="CT263" s="229"/>
      <c r="CU263" s="229"/>
      <c r="CV263" s="229"/>
      <c r="CW263" s="229"/>
    </row>
    <row r="264" ht="15.75" hidden="1" customHeight="1">
      <c r="CD264" s="53"/>
      <c r="CE264" s="180"/>
      <c r="CF264" s="201"/>
      <c r="CG264" s="201"/>
      <c r="CH264" s="181"/>
      <c r="CI264" s="182"/>
      <c r="CJ264" s="182"/>
      <c r="CK264" s="192"/>
      <c r="CL264" s="40"/>
      <c r="CM264" s="40"/>
      <c r="CN264" s="229"/>
      <c r="CO264" s="229"/>
      <c r="CP264" s="229"/>
      <c r="CQ264" s="229"/>
      <c r="CR264" s="229"/>
      <c r="CS264" s="229"/>
      <c r="CT264" s="229"/>
      <c r="CU264" s="229"/>
      <c r="CV264" s="229"/>
      <c r="CW264" s="229"/>
    </row>
    <row r="265" ht="15.75" hidden="1" customHeight="1">
      <c r="CD265" s="53"/>
      <c r="CE265" s="195"/>
      <c r="CF265" s="77"/>
      <c r="CG265" s="77"/>
      <c r="CH265" s="196"/>
      <c r="CI265" s="197"/>
      <c r="CJ265" s="197"/>
      <c r="CK265" s="192"/>
      <c r="CL265" s="40"/>
      <c r="CM265" s="40"/>
      <c r="CN265" s="229"/>
      <c r="CO265" s="229"/>
      <c r="CP265" s="229"/>
      <c r="CQ265" s="229"/>
      <c r="CR265" s="229"/>
      <c r="CS265" s="229"/>
      <c r="CT265" s="229"/>
      <c r="CU265" s="229"/>
      <c r="CV265" s="229"/>
      <c r="CW265" s="229"/>
    </row>
    <row r="266" ht="15.75" hidden="1" customHeight="1">
      <c r="CD266" s="53"/>
      <c r="CE266" s="207"/>
      <c r="CF266" s="77"/>
      <c r="CG266" s="77"/>
      <c r="CH266" s="208"/>
      <c r="CI266" s="209"/>
      <c r="CJ266" s="209"/>
      <c r="CK266" s="192"/>
      <c r="CL266" s="40"/>
      <c r="CM266" s="40"/>
      <c r="CN266" s="229"/>
      <c r="CO266" s="229"/>
      <c r="CP266" s="229"/>
      <c r="CQ266" s="229"/>
      <c r="CR266" s="229"/>
      <c r="CS266" s="229"/>
      <c r="CT266" s="229"/>
      <c r="CU266" s="229"/>
      <c r="CV266" s="229"/>
      <c r="CW266" s="229"/>
    </row>
    <row r="267" ht="15.75" hidden="1" customHeight="1">
      <c r="CD267" s="64"/>
      <c r="CE267" s="54"/>
      <c r="CF267" s="55"/>
      <c r="CG267" s="55"/>
      <c r="CH267" s="54"/>
      <c r="CI267" s="54"/>
      <c r="CJ267" s="54"/>
      <c r="CK267" s="16"/>
      <c r="CL267" s="55"/>
      <c r="CM267" s="70"/>
      <c r="CN267" s="229"/>
      <c r="CO267" s="229"/>
      <c r="CP267" s="229"/>
      <c r="CQ267" s="229"/>
      <c r="CR267" s="229"/>
      <c r="CS267" s="229"/>
      <c r="CT267" s="229"/>
      <c r="CU267" s="229"/>
      <c r="CV267" s="229"/>
      <c r="CW267" s="229"/>
    </row>
    <row r="268" ht="15.75" hidden="1" customHeight="1">
      <c r="CD268" s="54"/>
      <c r="CE268" s="54"/>
      <c r="CF268" s="55"/>
      <c r="CG268" s="55"/>
      <c r="CH268" s="54"/>
      <c r="CI268" s="54"/>
      <c r="CJ268" s="54"/>
      <c r="CK268" s="16"/>
      <c r="CL268" s="55"/>
      <c r="CM268" s="70"/>
      <c r="CN268" s="229"/>
      <c r="CO268" s="229"/>
      <c r="CP268" s="229"/>
      <c r="CQ268" s="229"/>
      <c r="CR268" s="229"/>
      <c r="CS268" s="229"/>
      <c r="CT268" s="229"/>
      <c r="CU268" s="229"/>
      <c r="CV268" s="229"/>
      <c r="CW268" s="229"/>
    </row>
    <row r="269" ht="15.75" hidden="1" customHeight="1">
      <c r="CD269" s="216"/>
      <c r="CE269" s="217"/>
      <c r="CF269" s="218"/>
      <c r="CG269" s="118"/>
      <c r="CH269" s="118"/>
      <c r="CI269" s="118"/>
      <c r="CJ269" s="118"/>
      <c r="CK269" s="117"/>
      <c r="CL269" s="219"/>
      <c r="CM269" s="220"/>
      <c r="CN269" s="229"/>
      <c r="CO269" s="229"/>
      <c r="CP269" s="229"/>
      <c r="CQ269" s="229"/>
      <c r="CR269" s="229"/>
      <c r="CS269" s="229"/>
      <c r="CT269" s="229"/>
      <c r="CU269" s="229"/>
      <c r="CV269" s="229"/>
      <c r="CW269" s="229"/>
    </row>
    <row r="270" ht="15.75" hidden="1" customHeight="1">
      <c r="CD270" s="16"/>
      <c r="CE270" s="217"/>
      <c r="CF270" s="218"/>
      <c r="CG270" s="118"/>
      <c r="CH270" s="118"/>
      <c r="CI270" s="118"/>
      <c r="CJ270" s="118"/>
      <c r="CK270" s="117"/>
      <c r="CL270" s="227"/>
      <c r="CM270" s="228"/>
      <c r="CN270" s="229"/>
      <c r="CO270" s="229"/>
      <c r="CP270" s="229"/>
      <c r="CQ270" s="229"/>
      <c r="CR270" s="229"/>
      <c r="CS270" s="229"/>
      <c r="CT270" s="229"/>
      <c r="CU270" s="229"/>
      <c r="CV270" s="229"/>
      <c r="CW270" s="229"/>
    </row>
    <row r="271" ht="15.75" hidden="1" customHeight="1">
      <c r="CD271" s="4"/>
      <c r="CE271" s="2"/>
      <c r="CF271" s="2"/>
      <c r="CG271" s="2"/>
      <c r="CH271" s="2"/>
      <c r="CI271" s="5"/>
      <c r="CJ271" s="5"/>
      <c r="CK271" s="5"/>
      <c r="CL271" s="5"/>
      <c r="CM271" s="6"/>
      <c r="CN271" s="229"/>
      <c r="CO271" s="229"/>
      <c r="CP271" s="229"/>
      <c r="CQ271" s="229"/>
      <c r="CR271" s="229"/>
      <c r="CS271" s="229"/>
      <c r="CT271" s="229"/>
      <c r="CU271" s="229"/>
      <c r="CV271" s="229"/>
      <c r="CW271" s="229"/>
    </row>
    <row r="272" ht="15.75" hidden="1" customHeight="1">
      <c r="CD272" s="11"/>
      <c r="CI272" s="12"/>
      <c r="CJ272" s="12"/>
      <c r="CK272" s="12"/>
      <c r="CL272" s="13"/>
      <c r="CM272" s="14"/>
      <c r="CN272" s="229"/>
      <c r="CO272" s="229"/>
      <c r="CP272" s="229"/>
      <c r="CQ272" s="229"/>
      <c r="CR272" s="229"/>
      <c r="CS272" s="229"/>
      <c r="CT272" s="229"/>
      <c r="CU272" s="229"/>
      <c r="CV272" s="229"/>
      <c r="CW272" s="229"/>
    </row>
    <row r="273" ht="15.75" hidden="1" customHeight="1">
      <c r="CD273" s="17"/>
      <c r="CE273" s="18"/>
      <c r="CF273" s="18"/>
      <c r="CG273" s="18"/>
      <c r="CH273" s="18"/>
      <c r="CI273" s="18"/>
      <c r="CJ273" s="18"/>
      <c r="CK273" s="18"/>
      <c r="CL273" s="18"/>
      <c r="CM273" s="18"/>
      <c r="CN273" s="229"/>
      <c r="CO273" s="229"/>
      <c r="CP273" s="229"/>
      <c r="CQ273" s="229"/>
      <c r="CR273" s="229"/>
      <c r="CS273" s="229"/>
      <c r="CT273" s="229"/>
      <c r="CU273" s="229"/>
      <c r="CV273" s="229"/>
      <c r="CW273" s="229"/>
    </row>
    <row r="274" ht="15.75" hidden="1" customHeight="1">
      <c r="CD274" s="23"/>
      <c r="CE274" s="24"/>
      <c r="CF274" s="28"/>
      <c r="CG274" s="26"/>
      <c r="CH274" s="26"/>
      <c r="CI274" s="26"/>
      <c r="CJ274" s="26"/>
      <c r="CK274" s="27"/>
      <c r="CL274" s="27"/>
      <c r="CM274" s="27"/>
      <c r="CN274" s="229"/>
      <c r="CO274" s="229"/>
      <c r="CP274" s="229"/>
      <c r="CQ274" s="229"/>
      <c r="CR274" s="229"/>
      <c r="CS274" s="229"/>
      <c r="CT274" s="229"/>
      <c r="CU274" s="229"/>
      <c r="CV274" s="229"/>
      <c r="CW274" s="229"/>
    </row>
    <row r="275" ht="15.75" hidden="1" customHeight="1">
      <c r="CD275" s="23"/>
      <c r="CE275" s="26"/>
      <c r="CF275" s="39"/>
      <c r="CG275" s="26"/>
      <c r="CH275" s="26"/>
      <c r="CI275" s="26"/>
      <c r="CJ275" s="26"/>
      <c r="CK275" s="40"/>
      <c r="CL275" s="40"/>
      <c r="CM275" s="40"/>
      <c r="CN275" s="229"/>
      <c r="CO275" s="229"/>
      <c r="CP275" s="229"/>
      <c r="CQ275" s="229"/>
      <c r="CR275" s="229"/>
      <c r="CS275" s="229"/>
      <c r="CT275" s="229"/>
      <c r="CU275" s="229"/>
      <c r="CV275" s="229"/>
      <c r="CW275" s="229"/>
    </row>
    <row r="276" ht="15.75" hidden="1" customHeight="1">
      <c r="CD276" s="45"/>
      <c r="CE276" s="46"/>
      <c r="CF276" s="46"/>
      <c r="CG276" s="46"/>
      <c r="CH276" s="46"/>
      <c r="CI276" s="46"/>
      <c r="CJ276" s="46"/>
      <c r="CK276" s="46"/>
      <c r="CL276" s="47"/>
      <c r="CM276" s="47"/>
      <c r="CN276" s="229"/>
      <c r="CO276" s="229"/>
      <c r="CP276" s="229"/>
      <c r="CQ276" s="229"/>
      <c r="CR276" s="229"/>
      <c r="CS276" s="229"/>
      <c r="CT276" s="229"/>
      <c r="CU276" s="229"/>
      <c r="CV276" s="229"/>
      <c r="CW276" s="229"/>
    </row>
    <row r="277" ht="15.75" hidden="1" customHeight="1">
      <c r="CD277" s="53"/>
      <c r="CE277" s="54"/>
      <c r="CF277" s="54"/>
      <c r="CG277" s="54"/>
      <c r="CH277" s="54"/>
      <c r="CI277" s="54"/>
      <c r="CJ277" s="54"/>
      <c r="CK277" s="54"/>
      <c r="CL277" s="55"/>
      <c r="CM277" s="56"/>
      <c r="CN277" s="229"/>
      <c r="CO277" s="229"/>
      <c r="CP277" s="229"/>
      <c r="CQ277" s="229"/>
      <c r="CR277" s="229"/>
      <c r="CS277" s="229"/>
      <c r="CT277" s="229"/>
      <c r="CU277" s="229"/>
      <c r="CV277" s="229"/>
      <c r="CW277" s="229"/>
    </row>
    <row r="278" ht="15.75" hidden="1" customHeight="1">
      <c r="CD278" s="64"/>
      <c r="CE278" s="65"/>
      <c r="CF278" s="62"/>
      <c r="CG278" s="62"/>
      <c r="CH278" s="66"/>
      <c r="CI278" s="54"/>
      <c r="CJ278" s="54"/>
      <c r="CK278" s="71"/>
      <c r="CL278" s="68"/>
      <c r="CM278" s="70"/>
      <c r="CN278" s="229"/>
      <c r="CO278" s="229"/>
      <c r="CP278" s="229"/>
      <c r="CQ278" s="229"/>
      <c r="CR278" s="229"/>
      <c r="CS278" s="229"/>
      <c r="CT278" s="229"/>
      <c r="CU278" s="229"/>
      <c r="CV278" s="229"/>
      <c r="CW278" s="229"/>
    </row>
    <row r="279" ht="15.75" hidden="1" customHeight="1">
      <c r="CD279" s="64"/>
      <c r="CE279" s="65"/>
      <c r="CF279" s="62"/>
      <c r="CG279" s="62"/>
      <c r="CH279" s="66"/>
      <c r="CI279" s="54"/>
      <c r="CJ279" s="54"/>
      <c r="CK279" s="67"/>
      <c r="CL279" s="78"/>
      <c r="CM279" s="70"/>
      <c r="CN279" s="229"/>
      <c r="CO279" s="229"/>
      <c r="CP279" s="229"/>
      <c r="CQ279" s="229"/>
      <c r="CR279" s="229"/>
      <c r="CS279" s="229"/>
      <c r="CT279" s="229"/>
      <c r="CU279" s="229"/>
      <c r="CV279" s="229"/>
      <c r="CW279" s="229"/>
    </row>
    <row r="280" ht="15.75" hidden="1" customHeight="1">
      <c r="CD280" s="64"/>
      <c r="CE280" s="65"/>
      <c r="CF280" s="62"/>
      <c r="CG280" s="62"/>
      <c r="CH280" s="66"/>
      <c r="CI280" s="54"/>
      <c r="CJ280" s="54"/>
      <c r="CK280" s="67"/>
      <c r="CL280" s="78"/>
      <c r="CM280" s="70"/>
      <c r="CN280" s="229"/>
      <c r="CO280" s="229"/>
      <c r="CP280" s="229"/>
      <c r="CQ280" s="229"/>
      <c r="CR280" s="229"/>
      <c r="CS280" s="229"/>
      <c r="CT280" s="229"/>
      <c r="CU280" s="229"/>
      <c r="CV280" s="229"/>
      <c r="CW280" s="229"/>
    </row>
    <row r="281" ht="15.75" hidden="1" customHeight="1">
      <c r="CD281" s="64"/>
      <c r="CE281" s="65"/>
      <c r="CF281" s="62"/>
      <c r="CG281" s="62"/>
      <c r="CH281" s="66"/>
      <c r="CI281" s="54"/>
      <c r="CJ281" s="54"/>
      <c r="CK281" s="67"/>
      <c r="CL281" s="78"/>
      <c r="CM281" s="70"/>
      <c r="CN281" s="229"/>
      <c r="CO281" s="229"/>
      <c r="CP281" s="229"/>
      <c r="CQ281" s="229"/>
      <c r="CR281" s="229"/>
      <c r="CS281" s="229"/>
      <c r="CT281" s="229"/>
      <c r="CU281" s="229"/>
      <c r="CV281" s="229"/>
      <c r="CW281" s="229"/>
    </row>
    <row r="282" ht="15.75" hidden="1" customHeight="1">
      <c r="CD282" s="64"/>
      <c r="CE282" s="65"/>
      <c r="CF282" s="62"/>
      <c r="CG282" s="62"/>
      <c r="CH282" s="66"/>
      <c r="CI282" s="54"/>
      <c r="CJ282" s="54"/>
      <c r="CK282" s="67"/>
      <c r="CL282" s="78"/>
      <c r="CM282" s="70"/>
      <c r="CN282" s="229"/>
      <c r="CO282" s="229"/>
      <c r="CP282" s="229"/>
      <c r="CQ282" s="229"/>
      <c r="CR282" s="229"/>
      <c r="CS282" s="229"/>
      <c r="CT282" s="229"/>
      <c r="CU282" s="229"/>
      <c r="CV282" s="229"/>
      <c r="CW282" s="229"/>
    </row>
    <row r="283" ht="15.75" hidden="1" customHeight="1">
      <c r="CD283" s="64"/>
      <c r="CE283" s="65"/>
      <c r="CF283" s="62"/>
      <c r="CG283" s="62"/>
      <c r="CH283" s="66"/>
      <c r="CI283" s="54"/>
      <c r="CJ283" s="54"/>
      <c r="CK283" s="67"/>
      <c r="CL283" s="78"/>
      <c r="CM283" s="70"/>
      <c r="CN283" s="229"/>
      <c r="CO283" s="229"/>
      <c r="CP283" s="229"/>
      <c r="CQ283" s="229"/>
      <c r="CR283" s="229"/>
      <c r="CS283" s="229"/>
      <c r="CT283" s="229"/>
      <c r="CU283" s="229"/>
      <c r="CV283" s="229"/>
      <c r="CW283" s="229"/>
    </row>
    <row r="284" ht="15.75" hidden="1" customHeight="1">
      <c r="CD284" s="64"/>
      <c r="CE284" s="65"/>
      <c r="CF284" s="62"/>
      <c r="CG284" s="62"/>
      <c r="CH284" s="66"/>
      <c r="CI284" s="54"/>
      <c r="CJ284" s="54"/>
      <c r="CK284" s="67"/>
      <c r="CL284" s="78"/>
      <c r="CM284" s="70"/>
      <c r="CN284" s="229"/>
      <c r="CO284" s="229"/>
      <c r="CP284" s="229"/>
      <c r="CQ284" s="229"/>
      <c r="CR284" s="229"/>
      <c r="CS284" s="229"/>
      <c r="CT284" s="229"/>
      <c r="CU284" s="229"/>
      <c r="CV284" s="229"/>
      <c r="CW284" s="229"/>
    </row>
    <row r="285" ht="15.75" hidden="1" customHeight="1">
      <c r="CD285" s="64"/>
      <c r="CE285" s="65"/>
      <c r="CF285" s="62"/>
      <c r="CG285" s="62"/>
      <c r="CH285" s="66"/>
      <c r="CI285" s="54"/>
      <c r="CJ285" s="54"/>
      <c r="CK285" s="67"/>
      <c r="CL285" s="78"/>
      <c r="CM285" s="70"/>
      <c r="CN285" s="229"/>
      <c r="CO285" s="229"/>
      <c r="CP285" s="229"/>
      <c r="CQ285" s="229"/>
      <c r="CR285" s="229"/>
      <c r="CS285" s="229"/>
      <c r="CT285" s="229"/>
      <c r="CU285" s="229"/>
      <c r="CV285" s="229"/>
      <c r="CW285" s="229"/>
    </row>
    <row r="286" ht="15.75" hidden="1" customHeight="1">
      <c r="CD286" s="64"/>
      <c r="CE286" s="65"/>
      <c r="CF286" s="62"/>
      <c r="CG286" s="62"/>
      <c r="CH286" s="66"/>
      <c r="CI286" s="54"/>
      <c r="CJ286" s="54"/>
      <c r="CK286" s="67"/>
      <c r="CL286" s="78"/>
      <c r="CM286" s="70"/>
      <c r="CN286" s="229"/>
      <c r="CO286" s="229"/>
      <c r="CP286" s="229"/>
      <c r="CQ286" s="229"/>
      <c r="CR286" s="229"/>
      <c r="CS286" s="229"/>
      <c r="CT286" s="229"/>
      <c r="CU286" s="229"/>
      <c r="CV286" s="229"/>
      <c r="CW286" s="229"/>
    </row>
    <row r="287" ht="15.75" hidden="1" customHeight="1">
      <c r="CD287" s="64"/>
      <c r="CE287" s="65"/>
      <c r="CF287" s="62"/>
      <c r="CG287" s="62"/>
      <c r="CH287" s="66"/>
      <c r="CI287" s="54"/>
      <c r="CJ287" s="54"/>
      <c r="CK287" s="67"/>
      <c r="CL287" s="78"/>
      <c r="CM287" s="70"/>
      <c r="CN287" s="229"/>
      <c r="CO287" s="229"/>
      <c r="CP287" s="229"/>
      <c r="CQ287" s="229"/>
      <c r="CR287" s="229"/>
      <c r="CS287" s="229"/>
      <c r="CT287" s="229"/>
      <c r="CU287" s="229"/>
      <c r="CV287" s="229"/>
      <c r="CW287" s="229"/>
    </row>
    <row r="288" ht="15.75" hidden="1" customHeight="1">
      <c r="CD288" s="64"/>
      <c r="CE288" s="65"/>
      <c r="CF288" s="62"/>
      <c r="CG288" s="62"/>
      <c r="CH288" s="66"/>
      <c r="CI288" s="54"/>
      <c r="CJ288" s="54"/>
      <c r="CK288" s="67"/>
      <c r="CL288" s="78"/>
      <c r="CM288" s="70"/>
      <c r="CN288" s="229"/>
      <c r="CO288" s="229"/>
      <c r="CP288" s="229"/>
      <c r="CQ288" s="229"/>
      <c r="CR288" s="229"/>
      <c r="CS288" s="229"/>
      <c r="CT288" s="229"/>
      <c r="CU288" s="229"/>
      <c r="CV288" s="229"/>
      <c r="CW288" s="229"/>
    </row>
    <row r="289" ht="15.75" hidden="1" customHeight="1">
      <c r="CD289" s="64"/>
      <c r="CE289" s="65"/>
      <c r="CF289" s="62"/>
      <c r="CG289" s="62"/>
      <c r="CH289" s="66"/>
      <c r="CI289" s="54"/>
      <c r="CJ289" s="54"/>
      <c r="CK289" s="67"/>
      <c r="CL289" s="78"/>
      <c r="CM289" s="70"/>
      <c r="CN289" s="229"/>
      <c r="CO289" s="229"/>
      <c r="CP289" s="229"/>
      <c r="CQ289" s="229"/>
      <c r="CR289" s="229"/>
      <c r="CS289" s="229"/>
      <c r="CT289" s="229"/>
      <c r="CU289" s="229"/>
      <c r="CV289" s="229"/>
      <c r="CW289" s="229"/>
    </row>
    <row r="290" ht="15.75" hidden="1" customHeight="1">
      <c r="CD290" s="64"/>
      <c r="CE290" s="65"/>
      <c r="CF290" s="62"/>
      <c r="CG290" s="62"/>
      <c r="CH290" s="66"/>
      <c r="CI290" s="54"/>
      <c r="CJ290" s="54"/>
      <c r="CK290" s="67"/>
      <c r="CL290" s="78"/>
      <c r="CM290" s="70"/>
      <c r="CN290" s="229"/>
      <c r="CO290" s="229"/>
      <c r="CP290" s="229"/>
      <c r="CQ290" s="229"/>
      <c r="CR290" s="229"/>
      <c r="CS290" s="229"/>
      <c r="CT290" s="229"/>
      <c r="CU290" s="229"/>
      <c r="CV290" s="229"/>
      <c r="CW290" s="229"/>
    </row>
    <row r="291" ht="15.75" hidden="1" customHeight="1">
      <c r="CD291" s="64"/>
      <c r="CE291" s="65"/>
      <c r="CF291" s="62"/>
      <c r="CG291" s="62"/>
      <c r="CH291" s="66"/>
      <c r="CI291" s="54"/>
      <c r="CJ291" s="54"/>
      <c r="CK291" s="67"/>
      <c r="CL291" s="78"/>
      <c r="CM291" s="70"/>
      <c r="CN291" s="229"/>
      <c r="CO291" s="229"/>
      <c r="CP291" s="229"/>
      <c r="CQ291" s="229"/>
      <c r="CR291" s="229"/>
      <c r="CS291" s="229"/>
      <c r="CT291" s="229"/>
      <c r="CU291" s="229"/>
      <c r="CV291" s="229"/>
      <c r="CW291" s="229"/>
    </row>
    <row r="292" ht="15.75" hidden="1" customHeight="1">
      <c r="CD292" s="64"/>
      <c r="CE292" s="65"/>
      <c r="CF292" s="62"/>
      <c r="CG292" s="62"/>
      <c r="CH292" s="66"/>
      <c r="CI292" s="54"/>
      <c r="CJ292" s="54"/>
      <c r="CK292" s="67"/>
      <c r="CL292" s="78"/>
      <c r="CM292" s="70"/>
      <c r="CN292" s="229"/>
      <c r="CO292" s="229"/>
      <c r="CP292" s="229"/>
      <c r="CQ292" s="229"/>
      <c r="CR292" s="229"/>
      <c r="CS292" s="229"/>
      <c r="CT292" s="229"/>
      <c r="CU292" s="229"/>
      <c r="CV292" s="229"/>
      <c r="CW292" s="229"/>
    </row>
    <row r="293" ht="15.75" hidden="1" customHeight="1">
      <c r="CD293" s="64"/>
      <c r="CE293" s="65"/>
      <c r="CF293" s="62"/>
      <c r="CG293" s="62"/>
      <c r="CH293" s="66"/>
      <c r="CI293" s="54"/>
      <c r="CJ293" s="54"/>
      <c r="CK293" s="67"/>
      <c r="CL293" s="78"/>
      <c r="CM293" s="70"/>
      <c r="CN293" s="229"/>
      <c r="CO293" s="229"/>
      <c r="CP293" s="229"/>
      <c r="CQ293" s="229"/>
      <c r="CR293" s="229"/>
      <c r="CS293" s="229"/>
      <c r="CT293" s="229"/>
      <c r="CU293" s="229"/>
      <c r="CV293" s="229"/>
      <c r="CW293" s="229"/>
    </row>
    <row r="294" ht="15.75" hidden="1" customHeight="1">
      <c r="CD294" s="64"/>
      <c r="CE294" s="65"/>
      <c r="CF294" s="62"/>
      <c r="CG294" s="62"/>
      <c r="CH294" s="66"/>
      <c r="CI294" s="54"/>
      <c r="CJ294" s="54"/>
      <c r="CK294" s="67"/>
      <c r="CL294" s="78"/>
      <c r="CM294" s="70"/>
      <c r="CN294" s="229"/>
      <c r="CO294" s="229"/>
      <c r="CP294" s="229"/>
      <c r="CQ294" s="229"/>
      <c r="CR294" s="229"/>
      <c r="CS294" s="229"/>
      <c r="CT294" s="229"/>
      <c r="CU294" s="229"/>
      <c r="CV294" s="229"/>
      <c r="CW294" s="229"/>
    </row>
    <row r="295" ht="15.75" hidden="1" customHeight="1">
      <c r="CD295" s="64"/>
      <c r="CE295" s="65"/>
      <c r="CF295" s="62"/>
      <c r="CG295" s="62"/>
      <c r="CH295" s="66"/>
      <c r="CI295" s="54"/>
      <c r="CJ295" s="54"/>
      <c r="CK295" s="67"/>
      <c r="CL295" s="78"/>
      <c r="CM295" s="70"/>
      <c r="CN295" s="229"/>
      <c r="CO295" s="229"/>
      <c r="CP295" s="229"/>
      <c r="CQ295" s="229"/>
      <c r="CR295" s="229"/>
      <c r="CS295" s="229"/>
      <c r="CT295" s="229"/>
      <c r="CU295" s="229"/>
      <c r="CV295" s="229"/>
      <c r="CW295" s="229"/>
    </row>
    <row r="296" ht="15.75" hidden="1" customHeight="1">
      <c r="CD296" s="64"/>
      <c r="CE296" s="65"/>
      <c r="CF296" s="62"/>
      <c r="CG296" s="62"/>
      <c r="CH296" s="66"/>
      <c r="CI296" s="54"/>
      <c r="CJ296" s="54"/>
      <c r="CK296" s="67"/>
      <c r="CL296" s="78"/>
      <c r="CM296" s="70"/>
      <c r="CN296" s="229"/>
      <c r="CO296" s="229"/>
      <c r="CP296" s="229"/>
      <c r="CQ296" s="229"/>
      <c r="CR296" s="229"/>
      <c r="CS296" s="229"/>
      <c r="CT296" s="229"/>
      <c r="CU296" s="229"/>
      <c r="CV296" s="229"/>
      <c r="CW296" s="229"/>
    </row>
    <row r="297" ht="15.75" hidden="1" customHeight="1">
      <c r="CD297" s="64"/>
      <c r="CE297" s="65"/>
      <c r="CF297" s="62"/>
      <c r="CG297" s="62"/>
      <c r="CH297" s="66"/>
      <c r="CI297" s="54"/>
      <c r="CJ297" s="54"/>
      <c r="CK297" s="67"/>
      <c r="CL297" s="78"/>
      <c r="CM297" s="70"/>
      <c r="CN297" s="229"/>
      <c r="CO297" s="229"/>
      <c r="CP297" s="229"/>
      <c r="CQ297" s="229"/>
      <c r="CR297" s="229"/>
      <c r="CS297" s="229"/>
      <c r="CT297" s="229"/>
      <c r="CU297" s="229"/>
      <c r="CV297" s="229"/>
      <c r="CW297" s="229"/>
    </row>
    <row r="298" ht="15.75" hidden="1" customHeight="1">
      <c r="CD298" s="64"/>
      <c r="CE298" s="65"/>
      <c r="CF298" s="62"/>
      <c r="CG298" s="62"/>
      <c r="CH298" s="66"/>
      <c r="CI298" s="54"/>
      <c r="CJ298" s="54"/>
      <c r="CK298" s="67"/>
      <c r="CL298" s="78"/>
      <c r="CM298" s="70"/>
      <c r="CN298" s="229"/>
      <c r="CO298" s="229"/>
      <c r="CP298" s="229"/>
      <c r="CQ298" s="229"/>
      <c r="CR298" s="229"/>
      <c r="CS298" s="229"/>
      <c r="CT298" s="229"/>
      <c r="CU298" s="229"/>
      <c r="CV298" s="229"/>
      <c r="CW298" s="229"/>
    </row>
    <row r="299" ht="15.75" hidden="1" customHeight="1">
      <c r="CD299" s="64"/>
      <c r="CE299" s="65"/>
      <c r="CF299" s="62"/>
      <c r="CG299" s="62"/>
      <c r="CH299" s="66"/>
      <c r="CI299" s="54"/>
      <c r="CJ299" s="54"/>
      <c r="CK299" s="67"/>
      <c r="CL299" s="78"/>
      <c r="CM299" s="70"/>
      <c r="CN299" s="229"/>
      <c r="CO299" s="229"/>
      <c r="CP299" s="229"/>
      <c r="CQ299" s="229"/>
      <c r="CR299" s="229"/>
      <c r="CS299" s="229"/>
      <c r="CT299" s="229"/>
      <c r="CU299" s="229"/>
      <c r="CV299" s="229"/>
      <c r="CW299" s="229"/>
    </row>
    <row r="300" ht="15.75" hidden="1" customHeight="1">
      <c r="CD300" s="64"/>
      <c r="CE300" s="65"/>
      <c r="CF300" s="62"/>
      <c r="CG300" s="62"/>
      <c r="CH300" s="66"/>
      <c r="CI300" s="54"/>
      <c r="CJ300" s="54"/>
      <c r="CK300" s="67"/>
      <c r="CL300" s="78"/>
      <c r="CM300" s="70"/>
      <c r="CN300" s="229"/>
      <c r="CO300" s="229"/>
      <c r="CP300" s="229"/>
      <c r="CQ300" s="229"/>
      <c r="CR300" s="229"/>
      <c r="CS300" s="229"/>
      <c r="CT300" s="229"/>
      <c r="CU300" s="229"/>
      <c r="CV300" s="229"/>
      <c r="CW300" s="229"/>
    </row>
    <row r="301" ht="15.75" hidden="1" customHeight="1">
      <c r="CD301" s="86"/>
      <c r="CE301" s="87"/>
      <c r="CF301" s="62"/>
      <c r="CG301" s="62"/>
      <c r="CH301" s="88"/>
      <c r="CI301" s="89"/>
      <c r="CJ301" s="89"/>
      <c r="CK301" s="90"/>
      <c r="CL301" s="91"/>
      <c r="CM301" s="92"/>
      <c r="CN301" s="229"/>
      <c r="CO301" s="229"/>
      <c r="CP301" s="229"/>
      <c r="CQ301" s="229"/>
      <c r="CR301" s="229"/>
      <c r="CS301" s="229"/>
      <c r="CT301" s="229"/>
      <c r="CU301" s="229"/>
      <c r="CV301" s="229"/>
      <c r="CW301" s="229"/>
    </row>
    <row r="302" ht="15.75" hidden="1" customHeight="1">
      <c r="CD302" s="64"/>
      <c r="CE302" s="65"/>
      <c r="CF302" s="62"/>
      <c r="CG302" s="62"/>
      <c r="CH302" s="66"/>
      <c r="CI302" s="54"/>
      <c r="CJ302" s="54"/>
      <c r="CK302" s="67"/>
      <c r="CL302" s="78"/>
      <c r="CM302" s="70"/>
      <c r="CN302" s="229"/>
      <c r="CO302" s="229"/>
      <c r="CP302" s="229"/>
      <c r="CQ302" s="229"/>
      <c r="CR302" s="229"/>
      <c r="CS302" s="229"/>
      <c r="CT302" s="229"/>
      <c r="CU302" s="229"/>
      <c r="CV302" s="229"/>
      <c r="CW302" s="229"/>
    </row>
    <row r="303" ht="15.75" hidden="1" customHeight="1">
      <c r="CD303" s="64"/>
      <c r="CE303" s="65"/>
      <c r="CF303" s="62"/>
      <c r="CG303" s="62"/>
      <c r="CH303" s="66"/>
      <c r="CI303" s="54"/>
      <c r="CJ303" s="54"/>
      <c r="CK303" s="67"/>
      <c r="CL303" s="78"/>
      <c r="CM303" s="70"/>
      <c r="CN303" s="229"/>
      <c r="CO303" s="229"/>
      <c r="CP303" s="229"/>
      <c r="CQ303" s="229"/>
      <c r="CR303" s="229"/>
      <c r="CS303" s="229"/>
      <c r="CT303" s="229"/>
      <c r="CU303" s="229"/>
      <c r="CV303" s="229"/>
      <c r="CW303" s="229"/>
    </row>
    <row r="304" ht="15.75" hidden="1" customHeight="1">
      <c r="CD304" s="64"/>
      <c r="CE304" s="65"/>
      <c r="CF304" s="62"/>
      <c r="CG304" s="62"/>
      <c r="CH304" s="66"/>
      <c r="CI304" s="54"/>
      <c r="CJ304" s="54"/>
      <c r="CK304" s="67"/>
      <c r="CL304" s="78"/>
      <c r="CM304" s="70"/>
      <c r="CN304" s="229"/>
      <c r="CO304" s="229"/>
      <c r="CP304" s="229"/>
      <c r="CQ304" s="229"/>
      <c r="CR304" s="229"/>
      <c r="CS304" s="229"/>
      <c r="CT304" s="229"/>
      <c r="CU304" s="229"/>
      <c r="CV304" s="229"/>
      <c r="CW304" s="229"/>
    </row>
    <row r="305" ht="15.75" hidden="1" customHeight="1">
      <c r="CD305" s="64"/>
      <c r="CE305" s="65"/>
      <c r="CF305" s="62"/>
      <c r="CG305" s="62"/>
      <c r="CH305" s="66"/>
      <c r="CI305" s="54"/>
      <c r="CJ305" s="54"/>
      <c r="CK305" s="67"/>
      <c r="CL305" s="78"/>
      <c r="CM305" s="70"/>
      <c r="CN305" s="229"/>
      <c r="CO305" s="229"/>
      <c r="CP305" s="229"/>
      <c r="CQ305" s="229"/>
      <c r="CR305" s="229"/>
      <c r="CS305" s="229"/>
      <c r="CT305" s="229"/>
      <c r="CU305" s="229"/>
      <c r="CV305" s="229"/>
      <c r="CW305" s="229"/>
    </row>
    <row r="306" ht="15.75" hidden="1" customHeight="1">
      <c r="CD306" s="64"/>
      <c r="CE306" s="65"/>
      <c r="CF306" s="62"/>
      <c r="CG306" s="62"/>
      <c r="CH306" s="66"/>
      <c r="CI306" s="54"/>
      <c r="CJ306" s="54"/>
      <c r="CK306" s="67"/>
      <c r="CL306" s="78"/>
      <c r="CM306" s="70"/>
      <c r="CN306" s="229"/>
      <c r="CO306" s="229"/>
      <c r="CP306" s="229"/>
      <c r="CQ306" s="229"/>
      <c r="CR306" s="229"/>
      <c r="CS306" s="229"/>
      <c r="CT306" s="229"/>
      <c r="CU306" s="229"/>
      <c r="CV306" s="229"/>
      <c r="CW306" s="229"/>
    </row>
    <row r="307" ht="15.75" hidden="1" customHeight="1">
      <c r="CD307" s="64"/>
      <c r="CE307" s="65"/>
      <c r="CF307" s="62"/>
      <c r="CG307" s="62"/>
      <c r="CH307" s="66"/>
      <c r="CI307" s="54"/>
      <c r="CJ307" s="54"/>
      <c r="CK307" s="67"/>
      <c r="CL307" s="78"/>
      <c r="CM307" s="70"/>
      <c r="CN307" s="229"/>
      <c r="CO307" s="229"/>
      <c r="CP307" s="229"/>
      <c r="CQ307" s="229"/>
      <c r="CR307" s="229"/>
      <c r="CS307" s="229"/>
      <c r="CT307" s="229"/>
      <c r="CU307" s="229"/>
      <c r="CV307" s="229"/>
      <c r="CW307" s="229"/>
    </row>
    <row r="308" ht="15.75" hidden="1" customHeight="1">
      <c r="CD308" s="64"/>
      <c r="CE308" s="65"/>
      <c r="CF308" s="62"/>
      <c r="CG308" s="62"/>
      <c r="CH308" s="66"/>
      <c r="CI308" s="54"/>
      <c r="CJ308" s="54"/>
      <c r="CK308" s="67"/>
      <c r="CL308" s="78"/>
      <c r="CM308" s="70"/>
      <c r="CN308" s="229"/>
      <c r="CO308" s="229"/>
      <c r="CP308" s="229"/>
      <c r="CQ308" s="229"/>
      <c r="CR308" s="229"/>
      <c r="CS308" s="229"/>
      <c r="CT308" s="229"/>
      <c r="CU308" s="229"/>
      <c r="CV308" s="229"/>
      <c r="CW308" s="229"/>
    </row>
    <row r="309" ht="15.75" hidden="1" customHeight="1">
      <c r="CD309" s="64"/>
      <c r="CE309" s="65"/>
      <c r="CF309" s="62"/>
      <c r="CG309" s="62"/>
      <c r="CH309" s="66"/>
      <c r="CI309" s="54"/>
      <c r="CJ309" s="54"/>
      <c r="CK309" s="67"/>
      <c r="CL309" s="78"/>
      <c r="CM309" s="70"/>
      <c r="CN309" s="229"/>
      <c r="CO309" s="229"/>
      <c r="CP309" s="229"/>
      <c r="CQ309" s="229"/>
      <c r="CR309" s="229"/>
      <c r="CS309" s="229"/>
      <c r="CT309" s="229"/>
      <c r="CU309" s="229"/>
      <c r="CV309" s="229"/>
      <c r="CW309" s="229"/>
    </row>
    <row r="310" ht="15.75" hidden="1" customHeight="1">
      <c r="CD310" s="64"/>
      <c r="CE310" s="65"/>
      <c r="CF310" s="62"/>
      <c r="CG310" s="62"/>
      <c r="CH310" s="66"/>
      <c r="CI310" s="54"/>
      <c r="CJ310" s="54"/>
      <c r="CK310" s="67"/>
      <c r="CL310" s="78"/>
      <c r="CM310" s="70"/>
      <c r="CN310" s="229"/>
      <c r="CO310" s="229"/>
      <c r="CP310" s="229"/>
      <c r="CQ310" s="229"/>
      <c r="CR310" s="229"/>
      <c r="CS310" s="229"/>
      <c r="CT310" s="229"/>
      <c r="CU310" s="229"/>
      <c r="CV310" s="229"/>
      <c r="CW310" s="229"/>
    </row>
    <row r="311" ht="15.75" hidden="1" customHeight="1">
      <c r="CD311" s="64"/>
      <c r="CE311" s="65"/>
      <c r="CF311" s="62"/>
      <c r="CG311" s="62"/>
      <c r="CH311" s="66"/>
      <c r="CI311" s="54"/>
      <c r="CJ311" s="54"/>
      <c r="CK311" s="67"/>
      <c r="CL311" s="78"/>
      <c r="CM311" s="70"/>
      <c r="CN311" s="229"/>
      <c r="CO311" s="229"/>
      <c r="CP311" s="229"/>
      <c r="CQ311" s="229"/>
      <c r="CR311" s="229"/>
      <c r="CS311" s="229"/>
      <c r="CT311" s="229"/>
      <c r="CU311" s="229"/>
      <c r="CV311" s="229"/>
      <c r="CW311" s="229"/>
    </row>
    <row r="312" ht="15.75" hidden="1" customHeight="1">
      <c r="CD312" s="64"/>
      <c r="CE312" s="65"/>
      <c r="CF312" s="62"/>
      <c r="CG312" s="62"/>
      <c r="CH312" s="66"/>
      <c r="CI312" s="54"/>
      <c r="CJ312" s="54"/>
      <c r="CK312" s="67"/>
      <c r="CL312" s="78"/>
      <c r="CM312" s="70"/>
      <c r="CN312" s="229"/>
      <c r="CO312" s="229"/>
      <c r="CP312" s="229"/>
      <c r="CQ312" s="229"/>
      <c r="CR312" s="229"/>
      <c r="CS312" s="229"/>
      <c r="CT312" s="229"/>
      <c r="CU312" s="229"/>
      <c r="CV312" s="229"/>
      <c r="CW312" s="229"/>
    </row>
    <row r="313" ht="15.75" hidden="1" customHeight="1">
      <c r="CD313" s="64"/>
      <c r="CE313" s="65"/>
      <c r="CF313" s="62"/>
      <c r="CG313" s="62"/>
      <c r="CH313" s="66"/>
      <c r="CI313" s="54"/>
      <c r="CJ313" s="54"/>
      <c r="CK313" s="67"/>
      <c r="CL313" s="78"/>
      <c r="CM313" s="70"/>
      <c r="CN313" s="229"/>
      <c r="CO313" s="229"/>
      <c r="CP313" s="229"/>
      <c r="CQ313" s="229"/>
      <c r="CR313" s="229"/>
      <c r="CS313" s="229"/>
      <c r="CT313" s="229"/>
      <c r="CU313" s="229"/>
      <c r="CV313" s="229"/>
      <c r="CW313" s="229"/>
    </row>
    <row r="314" ht="15.75" hidden="1" customHeight="1">
      <c r="CD314" s="64"/>
      <c r="CE314" s="65"/>
      <c r="CF314" s="62"/>
      <c r="CG314" s="62"/>
      <c r="CH314" s="66"/>
      <c r="CI314" s="54"/>
      <c r="CJ314" s="54"/>
      <c r="CK314" s="67"/>
      <c r="CL314" s="78"/>
      <c r="CM314" s="70"/>
      <c r="CN314" s="229"/>
      <c r="CO314" s="229"/>
      <c r="CP314" s="229"/>
      <c r="CQ314" s="229"/>
      <c r="CR314" s="229"/>
      <c r="CS314" s="229"/>
      <c r="CT314" s="229"/>
      <c r="CU314" s="229"/>
      <c r="CV314" s="229"/>
      <c r="CW314" s="229"/>
    </row>
    <row r="315" ht="15.75" hidden="1" customHeight="1">
      <c r="CD315" s="64"/>
      <c r="CE315" s="65"/>
      <c r="CF315" s="62"/>
      <c r="CG315" s="62"/>
      <c r="CH315" s="66"/>
      <c r="CI315" s="54"/>
      <c r="CJ315" s="54"/>
      <c r="CK315" s="67"/>
      <c r="CL315" s="78"/>
      <c r="CM315" s="70"/>
      <c r="CN315" s="229"/>
      <c r="CO315" s="229"/>
      <c r="CP315" s="229"/>
      <c r="CQ315" s="229"/>
      <c r="CR315" s="229"/>
      <c r="CS315" s="229"/>
      <c r="CT315" s="229"/>
      <c r="CU315" s="229"/>
      <c r="CV315" s="229"/>
      <c r="CW315" s="229"/>
    </row>
    <row r="316" ht="15.75" hidden="1" customHeight="1">
      <c r="CD316" s="64"/>
      <c r="CE316" s="65"/>
      <c r="CF316" s="62"/>
      <c r="CG316" s="62"/>
      <c r="CH316" s="66"/>
      <c r="CI316" s="54"/>
      <c r="CJ316" s="54"/>
      <c r="CK316" s="67"/>
      <c r="CL316" s="78"/>
      <c r="CM316" s="70"/>
      <c r="CN316" s="229"/>
      <c r="CO316" s="229"/>
      <c r="CP316" s="229"/>
      <c r="CQ316" s="229"/>
      <c r="CR316" s="229"/>
      <c r="CS316" s="229"/>
      <c r="CT316" s="229"/>
      <c r="CU316" s="229"/>
      <c r="CV316" s="229"/>
      <c r="CW316" s="229"/>
    </row>
    <row r="317" ht="15.75" hidden="1" customHeight="1">
      <c r="CD317" s="64"/>
      <c r="CE317" s="65"/>
      <c r="CF317" s="62"/>
      <c r="CG317" s="62"/>
      <c r="CH317" s="66"/>
      <c r="CI317" s="54"/>
      <c r="CJ317" s="54"/>
      <c r="CK317" s="67"/>
      <c r="CL317" s="78"/>
      <c r="CM317" s="70"/>
      <c r="CN317" s="229"/>
      <c r="CO317" s="229"/>
      <c r="CP317" s="229"/>
      <c r="CQ317" s="229"/>
      <c r="CR317" s="229"/>
      <c r="CS317" s="229"/>
      <c r="CT317" s="229"/>
      <c r="CU317" s="229"/>
      <c r="CV317" s="229"/>
      <c r="CW317" s="229"/>
    </row>
    <row r="318" ht="15.75" hidden="1" customHeight="1">
      <c r="CD318" s="64"/>
      <c r="CE318" s="65"/>
      <c r="CF318" s="62"/>
      <c r="CG318" s="62"/>
      <c r="CH318" s="66"/>
      <c r="CI318" s="54"/>
      <c r="CJ318" s="54"/>
      <c r="CK318" s="67"/>
      <c r="CL318" s="78"/>
      <c r="CM318" s="70"/>
      <c r="CN318" s="229"/>
      <c r="CO318" s="229"/>
      <c r="CP318" s="229"/>
      <c r="CQ318" s="229"/>
      <c r="CR318" s="229"/>
      <c r="CS318" s="229"/>
      <c r="CT318" s="229"/>
      <c r="CU318" s="229"/>
      <c r="CV318" s="229"/>
      <c r="CW318" s="229"/>
    </row>
    <row r="319" ht="15.75" hidden="1" customHeight="1">
      <c r="CD319" s="64"/>
      <c r="CE319" s="65"/>
      <c r="CF319" s="62"/>
      <c r="CG319" s="62"/>
      <c r="CH319" s="66"/>
      <c r="CI319" s="54"/>
      <c r="CJ319" s="54"/>
      <c r="CK319" s="67"/>
      <c r="CL319" s="78"/>
      <c r="CM319" s="70"/>
      <c r="CN319" s="229"/>
      <c r="CO319" s="229"/>
      <c r="CP319" s="229"/>
      <c r="CQ319" s="229"/>
      <c r="CR319" s="229"/>
      <c r="CS319" s="229"/>
      <c r="CT319" s="229"/>
      <c r="CU319" s="229"/>
      <c r="CV319" s="229"/>
      <c r="CW319" s="229"/>
    </row>
    <row r="320" ht="15.75" hidden="1" customHeight="1">
      <c r="CD320" s="64"/>
      <c r="CE320" s="65"/>
      <c r="CF320" s="62"/>
      <c r="CG320" s="62"/>
      <c r="CH320" s="66"/>
      <c r="CI320" s="54"/>
      <c r="CJ320" s="54"/>
      <c r="CK320" s="67"/>
      <c r="CL320" s="78"/>
      <c r="CM320" s="70"/>
      <c r="CN320" s="229"/>
      <c r="CO320" s="229"/>
      <c r="CP320" s="229"/>
      <c r="CQ320" s="229"/>
      <c r="CR320" s="229"/>
      <c r="CS320" s="229"/>
      <c r="CT320" s="229"/>
      <c r="CU320" s="229"/>
      <c r="CV320" s="229"/>
      <c r="CW320" s="229"/>
    </row>
    <row r="321" ht="15.75" hidden="1" customHeight="1">
      <c r="CD321" s="64"/>
      <c r="CE321" s="65"/>
      <c r="CF321" s="62"/>
      <c r="CG321" s="62"/>
      <c r="CH321" s="66"/>
      <c r="CI321" s="54"/>
      <c r="CJ321" s="54"/>
      <c r="CK321" s="67"/>
      <c r="CL321" s="78"/>
      <c r="CM321" s="70"/>
      <c r="CN321" s="229"/>
      <c r="CO321" s="229"/>
      <c r="CP321" s="229"/>
      <c r="CQ321" s="229"/>
      <c r="CR321" s="229"/>
      <c r="CS321" s="229"/>
      <c r="CT321" s="229"/>
      <c r="CU321" s="229"/>
      <c r="CV321" s="229"/>
      <c r="CW321" s="229"/>
    </row>
    <row r="322" ht="15.75" hidden="1" customHeight="1">
      <c r="CD322" s="64"/>
      <c r="CE322" s="65"/>
      <c r="CF322" s="62"/>
      <c r="CG322" s="62"/>
      <c r="CH322" s="66"/>
      <c r="CI322" s="54"/>
      <c r="CJ322" s="54"/>
      <c r="CK322" s="67"/>
      <c r="CL322" s="78"/>
      <c r="CM322" s="70"/>
      <c r="CN322" s="229"/>
      <c r="CO322" s="229"/>
      <c r="CP322" s="229"/>
      <c r="CQ322" s="229"/>
      <c r="CR322" s="229"/>
      <c r="CS322" s="229"/>
      <c r="CT322" s="229"/>
      <c r="CU322" s="229"/>
      <c r="CV322" s="229"/>
      <c r="CW322" s="229"/>
    </row>
    <row r="323" ht="15.75" hidden="1" customHeight="1">
      <c r="CD323" s="64"/>
      <c r="CE323" s="65"/>
      <c r="CF323" s="62"/>
      <c r="CG323" s="62"/>
      <c r="CH323" s="66"/>
      <c r="CI323" s="54"/>
      <c r="CJ323" s="54"/>
      <c r="CK323" s="67"/>
      <c r="CL323" s="78"/>
      <c r="CM323" s="70"/>
      <c r="CN323" s="229"/>
      <c r="CO323" s="229"/>
      <c r="CP323" s="229"/>
      <c r="CQ323" s="229"/>
      <c r="CR323" s="229"/>
      <c r="CS323" s="229"/>
      <c r="CT323" s="229"/>
      <c r="CU323" s="229"/>
      <c r="CV323" s="229"/>
      <c r="CW323" s="229"/>
    </row>
    <row r="324" ht="15.75" hidden="1" customHeight="1">
      <c r="CD324" s="64"/>
      <c r="CE324" s="65"/>
      <c r="CF324" s="62"/>
      <c r="CG324" s="62"/>
      <c r="CH324" s="66"/>
      <c r="CI324" s="54"/>
      <c r="CJ324" s="54"/>
      <c r="CK324" s="67"/>
      <c r="CL324" s="78"/>
      <c r="CM324" s="70"/>
      <c r="CN324" s="229"/>
      <c r="CO324" s="229"/>
      <c r="CP324" s="229"/>
      <c r="CQ324" s="229"/>
      <c r="CR324" s="229"/>
      <c r="CS324" s="229"/>
      <c r="CT324" s="229"/>
      <c r="CU324" s="229"/>
      <c r="CV324" s="229"/>
      <c r="CW324" s="229"/>
    </row>
    <row r="325" ht="15.75" hidden="1" customHeight="1">
      <c r="CD325" s="86"/>
      <c r="CE325" s="87"/>
      <c r="CF325" s="62"/>
      <c r="CG325" s="62"/>
      <c r="CH325" s="88"/>
      <c r="CI325" s="89"/>
      <c r="CJ325" s="89"/>
      <c r="CK325" s="90"/>
      <c r="CL325" s="91"/>
      <c r="CM325" s="92"/>
      <c r="CN325" s="229"/>
      <c r="CO325" s="229"/>
      <c r="CP325" s="229"/>
      <c r="CQ325" s="229"/>
      <c r="CR325" s="229"/>
      <c r="CS325" s="229"/>
      <c r="CT325" s="229"/>
      <c r="CU325" s="229"/>
      <c r="CV325" s="229"/>
      <c r="CW325" s="229"/>
    </row>
    <row r="326" ht="15.75" hidden="1" customHeight="1">
      <c r="CD326" s="64"/>
      <c r="CE326" s="65"/>
      <c r="CF326" s="62"/>
      <c r="CG326" s="62"/>
      <c r="CH326" s="66"/>
      <c r="CI326" s="54"/>
      <c r="CJ326" s="54"/>
      <c r="CK326" s="67"/>
      <c r="CL326" s="78"/>
      <c r="CM326" s="70"/>
      <c r="CN326" s="229"/>
      <c r="CO326" s="229"/>
      <c r="CP326" s="229"/>
      <c r="CQ326" s="229"/>
      <c r="CR326" s="229"/>
      <c r="CS326" s="229"/>
      <c r="CT326" s="229"/>
      <c r="CU326" s="229"/>
      <c r="CV326" s="229"/>
      <c r="CW326" s="229"/>
    </row>
    <row r="327" ht="15.75" hidden="1" customHeight="1">
      <c r="CD327" s="64"/>
      <c r="CE327" s="65"/>
      <c r="CF327" s="62"/>
      <c r="CG327" s="62"/>
      <c r="CH327" s="66"/>
      <c r="CI327" s="54"/>
      <c r="CJ327" s="54"/>
      <c r="CK327" s="67"/>
      <c r="CL327" s="78"/>
      <c r="CM327" s="70"/>
      <c r="CN327" s="229"/>
      <c r="CO327" s="229"/>
      <c r="CP327" s="229"/>
      <c r="CQ327" s="229"/>
      <c r="CR327" s="229"/>
      <c r="CS327" s="229"/>
      <c r="CT327" s="229"/>
      <c r="CU327" s="229"/>
      <c r="CV327" s="229"/>
      <c r="CW327" s="229"/>
    </row>
    <row r="328" ht="15.75" hidden="1" customHeight="1">
      <c r="CD328" s="64"/>
      <c r="CE328" s="65"/>
      <c r="CF328" s="62"/>
      <c r="CG328" s="62"/>
      <c r="CH328" s="66"/>
      <c r="CI328" s="54"/>
      <c r="CJ328" s="54"/>
      <c r="CK328" s="67"/>
      <c r="CL328" s="78"/>
      <c r="CM328" s="70"/>
      <c r="CN328" s="229"/>
      <c r="CO328" s="229"/>
      <c r="CP328" s="229"/>
      <c r="CQ328" s="229"/>
      <c r="CR328" s="229"/>
      <c r="CS328" s="229"/>
      <c r="CT328" s="229"/>
      <c r="CU328" s="229"/>
      <c r="CV328" s="229"/>
      <c r="CW328" s="229"/>
    </row>
    <row r="329" ht="15.75" hidden="1" customHeight="1">
      <c r="CD329" s="64"/>
      <c r="CE329" s="65"/>
      <c r="CF329" s="62"/>
      <c r="CG329" s="62"/>
      <c r="CH329" s="66"/>
      <c r="CI329" s="54"/>
      <c r="CJ329" s="54"/>
      <c r="CK329" s="67"/>
      <c r="CL329" s="78"/>
      <c r="CM329" s="70"/>
      <c r="CN329" s="229"/>
      <c r="CO329" s="229"/>
      <c r="CP329" s="229"/>
      <c r="CQ329" s="229"/>
      <c r="CR329" s="229"/>
      <c r="CS329" s="229"/>
      <c r="CT329" s="229"/>
      <c r="CU329" s="229"/>
      <c r="CV329" s="229"/>
      <c r="CW329" s="229"/>
    </row>
    <row r="330" ht="15.75" hidden="1" customHeight="1">
      <c r="CD330" s="64"/>
      <c r="CE330" s="65"/>
      <c r="CF330" s="62"/>
      <c r="CG330" s="62"/>
      <c r="CH330" s="66"/>
      <c r="CI330" s="54"/>
      <c r="CJ330" s="54"/>
      <c r="CK330" s="67"/>
      <c r="CL330" s="78"/>
      <c r="CM330" s="70"/>
      <c r="CN330" s="229"/>
      <c r="CO330" s="229"/>
      <c r="CP330" s="229"/>
      <c r="CQ330" s="229"/>
      <c r="CR330" s="229"/>
      <c r="CS330" s="229"/>
      <c r="CT330" s="229"/>
      <c r="CU330" s="229"/>
      <c r="CV330" s="229"/>
      <c r="CW330" s="229"/>
    </row>
    <row r="331" ht="15.75" hidden="1" customHeight="1">
      <c r="CD331" s="64"/>
      <c r="CE331" s="65"/>
      <c r="CF331" s="62"/>
      <c r="CG331" s="62"/>
      <c r="CH331" s="66"/>
      <c r="CI331" s="54"/>
      <c r="CJ331" s="54"/>
      <c r="CK331" s="67"/>
      <c r="CL331" s="78"/>
      <c r="CM331" s="70"/>
      <c r="CN331" s="229"/>
      <c r="CO331" s="229"/>
      <c r="CP331" s="229"/>
      <c r="CQ331" s="229"/>
      <c r="CR331" s="229"/>
      <c r="CS331" s="229"/>
      <c r="CT331" s="229"/>
      <c r="CU331" s="229"/>
      <c r="CV331" s="229"/>
      <c r="CW331" s="229"/>
    </row>
    <row r="332" ht="15.75" hidden="1" customHeight="1">
      <c r="CD332" s="64"/>
      <c r="CE332" s="65"/>
      <c r="CF332" s="62"/>
      <c r="CG332" s="62"/>
      <c r="CH332" s="66"/>
      <c r="CI332" s="54"/>
      <c r="CJ332" s="54"/>
      <c r="CK332" s="67"/>
      <c r="CL332" s="78"/>
      <c r="CM332" s="70"/>
      <c r="CN332" s="229"/>
      <c r="CO332" s="229"/>
      <c r="CP332" s="229"/>
      <c r="CQ332" s="229"/>
      <c r="CR332" s="229"/>
      <c r="CS332" s="229"/>
      <c r="CT332" s="229"/>
      <c r="CU332" s="229"/>
      <c r="CV332" s="229"/>
      <c r="CW332" s="229"/>
    </row>
    <row r="333" ht="15.75" hidden="1" customHeight="1">
      <c r="CD333" s="64"/>
      <c r="CE333" s="65"/>
      <c r="CF333" s="62"/>
      <c r="CG333" s="62"/>
      <c r="CH333" s="66"/>
      <c r="CI333" s="54"/>
      <c r="CJ333" s="54"/>
      <c r="CK333" s="67"/>
      <c r="CL333" s="78"/>
      <c r="CM333" s="70"/>
      <c r="CN333" s="229"/>
      <c r="CO333" s="229"/>
      <c r="CP333" s="229"/>
      <c r="CQ333" s="229"/>
      <c r="CR333" s="229"/>
      <c r="CS333" s="229"/>
      <c r="CT333" s="229"/>
      <c r="CU333" s="229"/>
      <c r="CV333" s="229"/>
      <c r="CW333" s="229"/>
    </row>
    <row r="334" ht="15.75" hidden="1" customHeight="1">
      <c r="CD334" s="64"/>
      <c r="CE334" s="65"/>
      <c r="CF334" s="62"/>
      <c r="CG334" s="62"/>
      <c r="CH334" s="66"/>
      <c r="CI334" s="54"/>
      <c r="CJ334" s="54"/>
      <c r="CK334" s="67"/>
      <c r="CL334" s="78"/>
      <c r="CM334" s="70"/>
      <c r="CN334" s="229"/>
      <c r="CO334" s="229"/>
      <c r="CP334" s="229"/>
      <c r="CQ334" s="229"/>
      <c r="CR334" s="229"/>
      <c r="CS334" s="229"/>
      <c r="CT334" s="229"/>
      <c r="CU334" s="229"/>
      <c r="CV334" s="229"/>
      <c r="CW334" s="229"/>
    </row>
    <row r="335" ht="15.75" hidden="1" customHeight="1">
      <c r="CD335" s="64"/>
      <c r="CE335" s="65"/>
      <c r="CF335" s="62"/>
      <c r="CG335" s="62"/>
      <c r="CH335" s="66"/>
      <c r="CI335" s="54"/>
      <c r="CJ335" s="54"/>
      <c r="CK335" s="67"/>
      <c r="CL335" s="78"/>
      <c r="CM335" s="70"/>
      <c r="CN335" s="229"/>
      <c r="CO335" s="229"/>
      <c r="CP335" s="229"/>
      <c r="CQ335" s="229"/>
      <c r="CR335" s="229"/>
      <c r="CS335" s="229"/>
      <c r="CT335" s="229"/>
      <c r="CU335" s="229"/>
      <c r="CV335" s="229"/>
      <c r="CW335" s="229"/>
    </row>
    <row r="336" ht="15.75" hidden="1" customHeight="1">
      <c r="CD336" s="64"/>
      <c r="CE336" s="65"/>
      <c r="CF336" s="62"/>
      <c r="CG336" s="62"/>
      <c r="CH336" s="66"/>
      <c r="CI336" s="54"/>
      <c r="CJ336" s="54"/>
      <c r="CK336" s="67"/>
      <c r="CL336" s="78"/>
      <c r="CM336" s="70"/>
      <c r="CN336" s="229"/>
      <c r="CO336" s="229"/>
      <c r="CP336" s="229"/>
      <c r="CQ336" s="229"/>
      <c r="CR336" s="229"/>
      <c r="CS336" s="229"/>
      <c r="CT336" s="229"/>
      <c r="CU336" s="229"/>
      <c r="CV336" s="229"/>
      <c r="CW336" s="229"/>
    </row>
    <row r="337" ht="15.75" hidden="1" customHeight="1">
      <c r="CD337" s="64"/>
      <c r="CE337" s="65"/>
      <c r="CF337" s="62"/>
      <c r="CG337" s="62"/>
      <c r="CH337" s="66"/>
      <c r="CI337" s="54"/>
      <c r="CJ337" s="54"/>
      <c r="CK337" s="67"/>
      <c r="CL337" s="78"/>
      <c r="CM337" s="70"/>
      <c r="CN337" s="229"/>
      <c r="CO337" s="229"/>
      <c r="CP337" s="229"/>
      <c r="CQ337" s="229"/>
      <c r="CR337" s="229"/>
      <c r="CS337" s="229"/>
      <c r="CT337" s="229"/>
      <c r="CU337" s="229"/>
      <c r="CV337" s="229"/>
      <c r="CW337" s="229"/>
    </row>
    <row r="338" ht="15.75" hidden="1" customHeight="1">
      <c r="CD338" s="64"/>
      <c r="CE338" s="65"/>
      <c r="CF338" s="62"/>
      <c r="CG338" s="62"/>
      <c r="CH338" s="66"/>
      <c r="CI338" s="54"/>
      <c r="CJ338" s="54"/>
      <c r="CK338" s="67"/>
      <c r="CL338" s="78"/>
      <c r="CM338" s="70"/>
      <c r="CN338" s="229"/>
      <c r="CO338" s="229"/>
      <c r="CP338" s="229"/>
      <c r="CQ338" s="229"/>
      <c r="CR338" s="229"/>
      <c r="CS338" s="229"/>
      <c r="CT338" s="229"/>
      <c r="CU338" s="229"/>
      <c r="CV338" s="229"/>
      <c r="CW338" s="229"/>
    </row>
    <row r="339" ht="15.75" hidden="1" customHeight="1">
      <c r="CD339" s="64"/>
      <c r="CE339" s="65"/>
      <c r="CF339" s="62"/>
      <c r="CG339" s="62"/>
      <c r="CH339" s="66"/>
      <c r="CI339" s="54"/>
      <c r="CJ339" s="54"/>
      <c r="CK339" s="67"/>
      <c r="CL339" s="78"/>
      <c r="CM339" s="70"/>
      <c r="CN339" s="229"/>
      <c r="CO339" s="229"/>
      <c r="CP339" s="229"/>
      <c r="CQ339" s="229"/>
      <c r="CR339" s="229"/>
      <c r="CS339" s="229"/>
      <c r="CT339" s="229"/>
      <c r="CU339" s="229"/>
      <c r="CV339" s="229"/>
      <c r="CW339" s="229"/>
    </row>
    <row r="340" ht="15.75" hidden="1" customHeight="1">
      <c r="CD340" s="64"/>
      <c r="CE340" s="65"/>
      <c r="CF340" s="62"/>
      <c r="CG340" s="62"/>
      <c r="CH340" s="66"/>
      <c r="CI340" s="54"/>
      <c r="CJ340" s="54"/>
      <c r="CK340" s="67"/>
      <c r="CL340" s="78"/>
      <c r="CM340" s="70"/>
      <c r="CN340" s="229"/>
      <c r="CO340" s="229"/>
      <c r="CP340" s="229"/>
      <c r="CQ340" s="229"/>
      <c r="CR340" s="229"/>
      <c r="CS340" s="229"/>
      <c r="CT340" s="229"/>
      <c r="CU340" s="229"/>
      <c r="CV340" s="229"/>
      <c r="CW340" s="229"/>
    </row>
    <row r="341" ht="15.75" hidden="1" customHeight="1">
      <c r="CD341" s="64"/>
      <c r="CE341" s="65"/>
      <c r="CF341" s="62"/>
      <c r="CG341" s="62"/>
      <c r="CH341" s="66"/>
      <c r="CI341" s="54"/>
      <c r="CJ341" s="54"/>
      <c r="CK341" s="67"/>
      <c r="CL341" s="78"/>
      <c r="CM341" s="70"/>
      <c r="CN341" s="229"/>
      <c r="CO341" s="229"/>
      <c r="CP341" s="229"/>
      <c r="CQ341" s="229"/>
      <c r="CR341" s="229"/>
      <c r="CS341" s="229"/>
      <c r="CT341" s="229"/>
      <c r="CU341" s="229"/>
      <c r="CV341" s="229"/>
      <c r="CW341" s="229"/>
    </row>
    <row r="342" ht="15.75" hidden="1" customHeight="1">
      <c r="CD342" s="64"/>
      <c r="CE342" s="65"/>
      <c r="CF342" s="62"/>
      <c r="CG342" s="62"/>
      <c r="CH342" s="66"/>
      <c r="CI342" s="54"/>
      <c r="CJ342" s="54"/>
      <c r="CK342" s="67"/>
      <c r="CL342" s="78"/>
      <c r="CM342" s="70"/>
      <c r="CN342" s="229"/>
      <c r="CO342" s="229"/>
      <c r="CP342" s="229"/>
      <c r="CQ342" s="229"/>
      <c r="CR342" s="229"/>
      <c r="CS342" s="229"/>
      <c r="CT342" s="229"/>
      <c r="CU342" s="229"/>
      <c r="CV342" s="229"/>
      <c r="CW342" s="229"/>
    </row>
    <row r="343" ht="15.75" hidden="1" customHeight="1">
      <c r="CD343" s="64"/>
      <c r="CE343" s="65"/>
      <c r="CF343" s="62"/>
      <c r="CG343" s="62"/>
      <c r="CH343" s="66"/>
      <c r="CI343" s="54"/>
      <c r="CJ343" s="54"/>
      <c r="CK343" s="67"/>
      <c r="CL343" s="78"/>
      <c r="CM343" s="70"/>
      <c r="CN343" s="229"/>
      <c r="CO343" s="229"/>
      <c r="CP343" s="229"/>
      <c r="CQ343" s="229"/>
      <c r="CR343" s="229"/>
      <c r="CS343" s="229"/>
      <c r="CT343" s="229"/>
      <c r="CU343" s="229"/>
      <c r="CV343" s="229"/>
      <c r="CW343" s="229"/>
    </row>
    <row r="344" ht="15.75" hidden="1" customHeight="1">
      <c r="CD344" s="64"/>
      <c r="CE344" s="65"/>
      <c r="CF344" s="62"/>
      <c r="CG344" s="62"/>
      <c r="CH344" s="66"/>
      <c r="CI344" s="54"/>
      <c r="CJ344" s="54"/>
      <c r="CK344" s="67"/>
      <c r="CL344" s="78"/>
      <c r="CM344" s="70"/>
      <c r="CN344" s="229"/>
      <c r="CO344" s="229"/>
      <c r="CP344" s="229"/>
      <c r="CQ344" s="229"/>
      <c r="CR344" s="229"/>
      <c r="CS344" s="229"/>
      <c r="CT344" s="229"/>
      <c r="CU344" s="229"/>
      <c r="CV344" s="229"/>
      <c r="CW344" s="229"/>
    </row>
    <row r="345" ht="15.75" hidden="1" customHeight="1">
      <c r="CD345" s="64"/>
      <c r="CE345" s="65"/>
      <c r="CF345" s="62"/>
      <c r="CG345" s="62"/>
      <c r="CH345" s="66"/>
      <c r="CI345" s="54"/>
      <c r="CJ345" s="54"/>
      <c r="CK345" s="67"/>
      <c r="CL345" s="78"/>
      <c r="CM345" s="70"/>
      <c r="CN345" s="229"/>
      <c r="CO345" s="229"/>
      <c r="CP345" s="229"/>
      <c r="CQ345" s="229"/>
      <c r="CR345" s="229"/>
      <c r="CS345" s="229"/>
      <c r="CT345" s="229"/>
      <c r="CU345" s="229"/>
      <c r="CV345" s="229"/>
      <c r="CW345" s="229"/>
    </row>
    <row r="346" ht="15.75" hidden="1" customHeight="1">
      <c r="CD346" s="64"/>
      <c r="CE346" s="65"/>
      <c r="CF346" s="62"/>
      <c r="CG346" s="62"/>
      <c r="CH346" s="66"/>
      <c r="CI346" s="54"/>
      <c r="CJ346" s="54"/>
      <c r="CK346" s="67"/>
      <c r="CL346" s="78"/>
      <c r="CM346" s="70"/>
      <c r="CN346" s="229"/>
      <c r="CO346" s="229"/>
      <c r="CP346" s="229"/>
      <c r="CQ346" s="229"/>
      <c r="CR346" s="229"/>
      <c r="CS346" s="229"/>
      <c r="CT346" s="229"/>
      <c r="CU346" s="229"/>
      <c r="CV346" s="229"/>
      <c r="CW346" s="229"/>
    </row>
    <row r="347" ht="15.75" hidden="1" customHeight="1">
      <c r="CD347" s="64"/>
      <c r="CE347" s="65"/>
      <c r="CF347" s="62"/>
      <c r="CG347" s="62"/>
      <c r="CH347" s="66"/>
      <c r="CI347" s="54"/>
      <c r="CJ347" s="54"/>
      <c r="CK347" s="67"/>
      <c r="CL347" s="78"/>
      <c r="CM347" s="70"/>
      <c r="CN347" s="229"/>
      <c r="CO347" s="229"/>
      <c r="CP347" s="229"/>
      <c r="CQ347" s="229"/>
      <c r="CR347" s="229"/>
      <c r="CS347" s="229"/>
      <c r="CT347" s="229"/>
      <c r="CU347" s="229"/>
      <c r="CV347" s="229"/>
      <c r="CW347" s="229"/>
    </row>
    <row r="348" ht="15.75" hidden="1" customHeight="1">
      <c r="CD348" s="64"/>
      <c r="CE348" s="65"/>
      <c r="CF348" s="62"/>
      <c r="CG348" s="62"/>
      <c r="CH348" s="66"/>
      <c r="CI348" s="54"/>
      <c r="CJ348" s="54"/>
      <c r="CK348" s="67"/>
      <c r="CL348" s="78"/>
      <c r="CM348" s="70"/>
      <c r="CN348" s="229"/>
      <c r="CO348" s="229"/>
      <c r="CP348" s="229"/>
      <c r="CQ348" s="229"/>
      <c r="CR348" s="229"/>
      <c r="CS348" s="229"/>
      <c r="CT348" s="229"/>
      <c r="CU348" s="229"/>
      <c r="CV348" s="229"/>
      <c r="CW348" s="229"/>
    </row>
    <row r="349" ht="15.75" hidden="1" customHeight="1">
      <c r="CD349" s="64"/>
      <c r="CE349" s="65"/>
      <c r="CF349" s="62"/>
      <c r="CG349" s="62"/>
      <c r="CH349" s="66"/>
      <c r="CI349" s="54"/>
      <c r="CJ349" s="54"/>
      <c r="CK349" s="67"/>
      <c r="CL349" s="78"/>
      <c r="CM349" s="70"/>
      <c r="CN349" s="229"/>
      <c r="CO349" s="229"/>
      <c r="CP349" s="229"/>
      <c r="CQ349" s="229"/>
      <c r="CR349" s="229"/>
      <c r="CS349" s="229"/>
      <c r="CT349" s="229"/>
      <c r="CU349" s="229"/>
      <c r="CV349" s="229"/>
      <c r="CW349" s="229"/>
    </row>
    <row r="350" ht="15.75" hidden="1" customHeight="1">
      <c r="CD350" s="64"/>
      <c r="CE350" s="65"/>
      <c r="CF350" s="55"/>
      <c r="CG350" s="55"/>
      <c r="CH350" s="66"/>
      <c r="CI350" s="54"/>
      <c r="CJ350" s="54"/>
      <c r="CK350" s="67"/>
      <c r="CL350" s="78"/>
      <c r="CM350" s="70"/>
      <c r="CN350" s="229"/>
      <c r="CO350" s="229"/>
      <c r="CP350" s="229"/>
      <c r="CQ350" s="229"/>
      <c r="CR350" s="229"/>
      <c r="CS350" s="229"/>
      <c r="CT350" s="229"/>
      <c r="CU350" s="229"/>
      <c r="CV350" s="229"/>
      <c r="CW350" s="229"/>
    </row>
    <row r="351" ht="15.75" hidden="1" customHeight="1">
      <c r="CD351" s="45"/>
      <c r="CE351" s="46"/>
      <c r="CF351" s="46"/>
      <c r="CG351" s="46"/>
      <c r="CH351" s="46"/>
      <c r="CI351" s="46"/>
      <c r="CJ351" s="46"/>
      <c r="CK351" s="46"/>
      <c r="CL351" s="46"/>
      <c r="CM351" s="106"/>
      <c r="CN351" s="229"/>
      <c r="CO351" s="229"/>
      <c r="CP351" s="229"/>
      <c r="CQ351" s="229"/>
      <c r="CR351" s="229"/>
      <c r="CS351" s="229"/>
      <c r="CT351" s="229"/>
      <c r="CU351" s="229"/>
      <c r="CV351" s="229"/>
      <c r="CW351" s="229"/>
    </row>
    <row r="352" ht="15.75" hidden="1" customHeight="1">
      <c r="CD352" s="64"/>
      <c r="CE352" s="54"/>
      <c r="CF352" s="55"/>
      <c r="CG352" s="55"/>
      <c r="CH352" s="54"/>
      <c r="CI352" s="54"/>
      <c r="CJ352" s="54"/>
      <c r="CK352" s="16"/>
      <c r="CL352" s="55"/>
      <c r="CM352" s="70"/>
      <c r="CN352" s="229"/>
      <c r="CO352" s="229"/>
      <c r="CP352" s="229"/>
      <c r="CQ352" s="229"/>
      <c r="CR352" s="229"/>
      <c r="CS352" s="229"/>
      <c r="CT352" s="229"/>
      <c r="CU352" s="229"/>
      <c r="CV352" s="229"/>
      <c r="CW352" s="229"/>
    </row>
    <row r="353" ht="15.75" hidden="1" customHeight="1">
      <c r="CD353" s="64"/>
      <c r="CE353" s="109"/>
      <c r="CF353" s="55"/>
      <c r="CG353" s="55"/>
      <c r="CH353" s="54"/>
      <c r="CI353" s="54"/>
      <c r="CJ353" s="54"/>
      <c r="CK353" s="54"/>
      <c r="CL353" s="55"/>
      <c r="CM353" s="70"/>
      <c r="CN353" s="229"/>
      <c r="CO353" s="229"/>
      <c r="CP353" s="229"/>
      <c r="CQ353" s="229"/>
      <c r="CR353" s="229"/>
      <c r="CS353" s="229"/>
      <c r="CT353" s="229"/>
      <c r="CU353" s="229"/>
      <c r="CV353" s="229"/>
      <c r="CW353" s="229"/>
    </row>
    <row r="354" ht="15.75" hidden="1" customHeight="1">
      <c r="CD354" s="115"/>
      <c r="CE354" s="119"/>
      <c r="CF354" s="120"/>
      <c r="CG354" s="116"/>
      <c r="CH354" s="117"/>
      <c r="CI354" s="116"/>
      <c r="CJ354" s="118"/>
      <c r="CK354" s="117"/>
      <c r="CL354" s="55"/>
      <c r="CM354" s="70"/>
      <c r="CN354" s="229"/>
      <c r="CO354" s="229"/>
      <c r="CP354" s="229"/>
      <c r="CQ354" s="229"/>
      <c r="CR354" s="229"/>
      <c r="CS354" s="229"/>
      <c r="CT354" s="229"/>
      <c r="CU354" s="229"/>
      <c r="CV354" s="229"/>
      <c r="CW354" s="229"/>
    </row>
    <row r="355" ht="15.75" hidden="1" customHeight="1">
      <c r="CD355" s="127"/>
      <c r="CE355" s="128"/>
      <c r="CF355" s="126"/>
      <c r="CG355" s="128"/>
      <c r="CH355" s="126"/>
      <c r="CI355" s="129"/>
      <c r="CJ355" s="130"/>
      <c r="CK355" s="131"/>
      <c r="CL355" s="55"/>
      <c r="CM355" s="40"/>
      <c r="CN355" s="229"/>
      <c r="CO355" s="229"/>
      <c r="CP355" s="229"/>
      <c r="CQ355" s="229"/>
      <c r="CR355" s="229"/>
      <c r="CS355" s="229"/>
      <c r="CT355" s="229"/>
      <c r="CU355" s="229"/>
      <c r="CV355" s="229"/>
      <c r="CW355" s="229"/>
    </row>
    <row r="356" ht="15.75" hidden="1" customHeight="1">
      <c r="CD356" s="127"/>
      <c r="CE356" s="128"/>
      <c r="CF356" s="126"/>
      <c r="CG356" s="128"/>
      <c r="CH356" s="126"/>
      <c r="CI356" s="129"/>
      <c r="CJ356" s="130"/>
      <c r="CK356" s="131"/>
      <c r="CL356" s="55"/>
      <c r="CM356" s="40"/>
      <c r="CN356" s="229"/>
      <c r="CO356" s="229"/>
      <c r="CP356" s="229"/>
      <c r="CQ356" s="229"/>
      <c r="CR356" s="229"/>
      <c r="CS356" s="229"/>
      <c r="CT356" s="229"/>
      <c r="CU356" s="229"/>
      <c r="CV356" s="229"/>
      <c r="CW356" s="229"/>
    </row>
    <row r="357" ht="15.75" hidden="1" customHeight="1">
      <c r="CD357" s="127"/>
      <c r="CE357" s="128"/>
      <c r="CF357" s="126"/>
      <c r="CG357" s="128"/>
      <c r="CH357" s="126"/>
      <c r="CI357" s="129"/>
      <c r="CJ357" s="130"/>
      <c r="CK357" s="131"/>
      <c r="CL357" s="55"/>
      <c r="CM357" s="40"/>
      <c r="CN357" s="229"/>
      <c r="CO357" s="229"/>
      <c r="CP357" s="229"/>
      <c r="CQ357" s="229"/>
      <c r="CR357" s="229"/>
      <c r="CS357" s="229"/>
      <c r="CT357" s="229"/>
      <c r="CU357" s="229"/>
      <c r="CV357" s="229"/>
      <c r="CW357" s="229"/>
    </row>
    <row r="358" ht="15.75" hidden="1" customHeight="1">
      <c r="CD358" s="127"/>
      <c r="CE358" s="128"/>
      <c r="CF358" s="126"/>
      <c r="CG358" s="128"/>
      <c r="CH358" s="126"/>
      <c r="CI358" s="129"/>
      <c r="CJ358" s="130"/>
      <c r="CK358" s="131"/>
      <c r="CL358" s="55"/>
      <c r="CM358" s="40"/>
      <c r="CN358" s="229"/>
      <c r="CO358" s="229"/>
      <c r="CP358" s="229"/>
      <c r="CQ358" s="229"/>
      <c r="CR358" s="229"/>
      <c r="CS358" s="229"/>
      <c r="CT358" s="229"/>
      <c r="CU358" s="229"/>
      <c r="CV358" s="229"/>
      <c r="CW358" s="229"/>
    </row>
    <row r="359" ht="15.75" hidden="1" customHeight="1">
      <c r="CD359" s="143"/>
      <c r="CE359" s="128"/>
      <c r="CF359" s="126"/>
      <c r="CG359" s="128"/>
      <c r="CH359" s="126"/>
      <c r="CI359" s="129"/>
      <c r="CJ359" s="130"/>
      <c r="CK359" s="131"/>
      <c r="CL359" s="55"/>
      <c r="CM359" s="40"/>
      <c r="CN359" s="229"/>
      <c r="CO359" s="229"/>
      <c r="CP359" s="229"/>
      <c r="CQ359" s="229"/>
      <c r="CR359" s="229"/>
      <c r="CS359" s="229"/>
      <c r="CT359" s="229"/>
      <c r="CU359" s="229"/>
      <c r="CV359" s="229"/>
      <c r="CW359" s="229"/>
    </row>
    <row r="360" ht="15.75" hidden="1" customHeight="1">
      <c r="CD360" s="143"/>
      <c r="CE360" s="128"/>
      <c r="CF360" s="126"/>
      <c r="CG360" s="128"/>
      <c r="CH360" s="126"/>
      <c r="CI360" s="129"/>
      <c r="CJ360" s="130"/>
      <c r="CK360" s="131"/>
      <c r="CL360" s="55"/>
      <c r="CM360" s="40"/>
      <c r="CN360" s="229"/>
      <c r="CO360" s="229"/>
      <c r="CP360" s="229"/>
      <c r="CQ360" s="229"/>
      <c r="CR360" s="229"/>
      <c r="CS360" s="229"/>
      <c r="CT360" s="229"/>
      <c r="CU360" s="229"/>
      <c r="CV360" s="229"/>
      <c r="CW360" s="229"/>
    </row>
    <row r="361" ht="15.75" hidden="1" customHeight="1">
      <c r="CD361" s="143"/>
      <c r="CE361" s="128"/>
      <c r="CF361" s="126"/>
      <c r="CG361" s="128"/>
      <c r="CH361" s="126"/>
      <c r="CI361" s="129"/>
      <c r="CJ361" s="130"/>
      <c r="CK361" s="131"/>
      <c r="CL361" s="55"/>
      <c r="CM361" s="40"/>
      <c r="CN361" s="229"/>
      <c r="CO361" s="229"/>
      <c r="CP361" s="229"/>
      <c r="CQ361" s="229"/>
      <c r="CR361" s="229"/>
      <c r="CS361" s="229"/>
      <c r="CT361" s="229"/>
      <c r="CU361" s="229"/>
      <c r="CV361" s="229"/>
      <c r="CW361" s="229"/>
    </row>
    <row r="362" ht="15.75" hidden="1" customHeight="1">
      <c r="CD362" s="143"/>
      <c r="CE362" s="128"/>
      <c r="CF362" s="126"/>
      <c r="CG362" s="128"/>
      <c r="CH362" s="126"/>
      <c r="CI362" s="129"/>
      <c r="CJ362" s="130"/>
      <c r="CK362" s="131"/>
      <c r="CL362" s="55"/>
      <c r="CM362" s="40"/>
      <c r="CN362" s="229"/>
      <c r="CO362" s="229"/>
      <c r="CP362" s="229"/>
      <c r="CQ362" s="229"/>
      <c r="CR362" s="229"/>
      <c r="CS362" s="229"/>
      <c r="CT362" s="229"/>
      <c r="CU362" s="229"/>
      <c r="CV362" s="229"/>
      <c r="CW362" s="229"/>
    </row>
    <row r="363" ht="15.75" hidden="1" customHeight="1">
      <c r="CD363" s="145"/>
      <c r="CE363" s="128"/>
      <c r="CF363" s="126"/>
      <c r="CG363" s="128"/>
      <c r="CH363" s="126"/>
      <c r="CI363" s="129"/>
      <c r="CJ363" s="130"/>
      <c r="CK363" s="131"/>
      <c r="CL363" s="55"/>
      <c r="CM363" s="40"/>
      <c r="CN363" s="229"/>
      <c r="CO363" s="229"/>
      <c r="CP363" s="229"/>
      <c r="CQ363" s="229"/>
      <c r="CR363" s="229"/>
      <c r="CS363" s="229"/>
      <c r="CT363" s="229"/>
      <c r="CU363" s="229"/>
      <c r="CV363" s="229"/>
      <c r="CW363" s="229"/>
    </row>
    <row r="364" ht="15.75" hidden="1" customHeight="1">
      <c r="CD364" s="145"/>
      <c r="CE364" s="128"/>
      <c r="CF364" s="126"/>
      <c r="CG364" s="128"/>
      <c r="CH364" s="126"/>
      <c r="CI364" s="129"/>
      <c r="CJ364" s="130"/>
      <c r="CK364" s="131"/>
      <c r="CL364" s="55"/>
      <c r="CM364" s="40"/>
      <c r="CN364" s="229"/>
      <c r="CO364" s="229"/>
      <c r="CP364" s="229"/>
      <c r="CQ364" s="229"/>
      <c r="CR364" s="229"/>
      <c r="CS364" s="229"/>
      <c r="CT364" s="229"/>
      <c r="CU364" s="229"/>
      <c r="CV364" s="229"/>
      <c r="CW364" s="229"/>
    </row>
    <row r="365" ht="15.75" hidden="1" customHeight="1">
      <c r="CD365" s="145"/>
      <c r="CE365" s="128"/>
      <c r="CF365" s="126"/>
      <c r="CG365" s="128"/>
      <c r="CH365" s="126"/>
      <c r="CI365" s="129"/>
      <c r="CJ365" s="130"/>
      <c r="CK365" s="131"/>
      <c r="CL365" s="55"/>
      <c r="CM365" s="40"/>
      <c r="CN365" s="229"/>
      <c r="CO365" s="229"/>
      <c r="CP365" s="229"/>
      <c r="CQ365" s="229"/>
      <c r="CR365" s="229"/>
      <c r="CS365" s="229"/>
      <c r="CT365" s="229"/>
      <c r="CU365" s="229"/>
      <c r="CV365" s="229"/>
      <c r="CW365" s="229"/>
    </row>
    <row r="366" ht="15.75" hidden="1" customHeight="1">
      <c r="CD366" s="145"/>
      <c r="CE366" s="128"/>
      <c r="CF366" s="126"/>
      <c r="CG366" s="128"/>
      <c r="CH366" s="126"/>
      <c r="CI366" s="129"/>
      <c r="CJ366" s="130"/>
      <c r="CK366" s="131"/>
      <c r="CL366" s="55"/>
      <c r="CM366" s="40"/>
      <c r="CN366" s="229"/>
      <c r="CO366" s="229"/>
      <c r="CP366" s="229"/>
      <c r="CQ366" s="229"/>
      <c r="CR366" s="229"/>
      <c r="CS366" s="229"/>
      <c r="CT366" s="229"/>
      <c r="CU366" s="229"/>
      <c r="CV366" s="229"/>
      <c r="CW366" s="229"/>
    </row>
    <row r="367" ht="15.75" hidden="1" customHeight="1">
      <c r="CD367" s="53"/>
      <c r="CE367" s="147"/>
      <c r="CF367" s="118"/>
      <c r="CG367" s="118"/>
      <c r="CH367" s="117"/>
      <c r="CI367" s="148"/>
      <c r="CJ367" s="118"/>
      <c r="CK367" s="117"/>
      <c r="CL367" s="55"/>
      <c r="CM367" s="40"/>
      <c r="CN367" s="229"/>
      <c r="CO367" s="229"/>
      <c r="CP367" s="229"/>
      <c r="CQ367" s="229"/>
      <c r="CR367" s="229"/>
      <c r="CS367" s="229"/>
      <c r="CT367" s="229"/>
      <c r="CU367" s="229"/>
      <c r="CV367" s="229"/>
      <c r="CW367" s="229"/>
    </row>
    <row r="368" ht="15.75" hidden="1" customHeight="1">
      <c r="CD368" s="53"/>
      <c r="CE368" s="54"/>
      <c r="CF368" s="55"/>
      <c r="CG368" s="55"/>
      <c r="CH368" s="54"/>
      <c r="CI368" s="54"/>
      <c r="CJ368" s="54"/>
      <c r="CK368" s="16"/>
      <c r="CL368" s="55"/>
      <c r="CM368" s="153"/>
      <c r="CN368" s="229"/>
      <c r="CO368" s="229"/>
      <c r="CP368" s="229"/>
      <c r="CQ368" s="229"/>
      <c r="CR368" s="229"/>
      <c r="CS368" s="229"/>
      <c r="CT368" s="229"/>
      <c r="CU368" s="229"/>
      <c r="CV368" s="229"/>
      <c r="CW368" s="229"/>
    </row>
    <row r="369" ht="15.75" hidden="1" customHeight="1">
      <c r="CD369" s="53"/>
      <c r="CE369" s="54"/>
      <c r="CF369" s="55"/>
      <c r="CG369" s="55"/>
      <c r="CH369" s="54"/>
      <c r="CI369" s="54"/>
      <c r="CJ369" s="54"/>
      <c r="CK369" s="16"/>
      <c r="CL369" s="55"/>
      <c r="CM369" s="70"/>
      <c r="CN369" s="229"/>
      <c r="CO369" s="229"/>
      <c r="CP369" s="229"/>
      <c r="CQ369" s="229"/>
      <c r="CR369" s="229"/>
      <c r="CS369" s="229"/>
      <c r="CT369" s="229"/>
      <c r="CU369" s="229"/>
      <c r="CV369" s="229"/>
      <c r="CW369" s="229"/>
    </row>
    <row r="370" ht="15.75" hidden="1" customHeight="1">
      <c r="CD370" s="53"/>
      <c r="CE370" s="161"/>
      <c r="CF370" s="162"/>
      <c r="CG370" s="158"/>
      <c r="CH370" s="163"/>
      <c r="CI370" s="162"/>
      <c r="CJ370" s="158"/>
      <c r="CK370" s="54"/>
      <c r="CL370" s="164"/>
      <c r="CM370" s="153"/>
      <c r="CN370" s="229"/>
      <c r="CO370" s="229"/>
      <c r="CP370" s="229"/>
      <c r="CQ370" s="229"/>
      <c r="CR370" s="229"/>
      <c r="CS370" s="229"/>
      <c r="CT370" s="229"/>
      <c r="CU370" s="229"/>
      <c r="CV370" s="229"/>
      <c r="CW370" s="229"/>
    </row>
    <row r="371" ht="15.75" hidden="1" customHeight="1">
      <c r="CD371" s="53"/>
      <c r="CE371" s="169"/>
      <c r="CF371" s="77"/>
      <c r="CG371" s="77"/>
      <c r="CH371" s="170"/>
      <c r="CI371" s="171"/>
      <c r="CJ371" s="171"/>
      <c r="CK371" s="172"/>
      <c r="CL371" s="40"/>
      <c r="CM371" s="40"/>
      <c r="CN371" s="229"/>
      <c r="CO371" s="229"/>
      <c r="CP371" s="229"/>
      <c r="CQ371" s="229"/>
      <c r="CR371" s="229"/>
      <c r="CS371" s="229"/>
      <c r="CT371" s="229"/>
      <c r="CU371" s="229"/>
      <c r="CV371" s="229"/>
      <c r="CW371" s="229"/>
    </row>
    <row r="372" ht="15.75" hidden="1" customHeight="1">
      <c r="CD372" s="53"/>
      <c r="CE372" s="169"/>
      <c r="CF372" s="77"/>
      <c r="CG372" s="77"/>
      <c r="CH372" s="170"/>
      <c r="CI372" s="175"/>
      <c r="CJ372" s="175"/>
      <c r="CK372" s="172"/>
      <c r="CL372" s="40"/>
      <c r="CM372" s="40"/>
      <c r="CN372" s="229"/>
      <c r="CO372" s="229"/>
      <c r="CP372" s="229"/>
      <c r="CQ372" s="229"/>
      <c r="CR372" s="229"/>
      <c r="CS372" s="229"/>
      <c r="CT372" s="229"/>
      <c r="CU372" s="229"/>
      <c r="CV372" s="229"/>
      <c r="CW372" s="229"/>
    </row>
    <row r="373" ht="15.75" hidden="1" customHeight="1">
      <c r="CD373" s="53"/>
      <c r="CE373" s="169"/>
      <c r="CF373" s="77"/>
      <c r="CG373" s="77"/>
      <c r="CH373" s="170"/>
      <c r="CI373" s="175"/>
      <c r="CJ373" s="175"/>
      <c r="CK373" s="172"/>
      <c r="CL373" s="40"/>
      <c r="CM373" s="40"/>
      <c r="CN373" s="229"/>
      <c r="CO373" s="229"/>
      <c r="CP373" s="229"/>
      <c r="CQ373" s="229"/>
      <c r="CR373" s="229"/>
      <c r="CS373" s="229"/>
      <c r="CT373" s="229"/>
      <c r="CU373" s="229"/>
      <c r="CV373" s="229"/>
      <c r="CW373" s="229"/>
    </row>
    <row r="374" ht="15.75" hidden="1" customHeight="1">
      <c r="CD374" s="53"/>
      <c r="CE374" s="169"/>
      <c r="CF374" s="77"/>
      <c r="CG374" s="77"/>
      <c r="CH374" s="170"/>
      <c r="CI374" s="175"/>
      <c r="CJ374" s="175"/>
      <c r="CK374" s="172"/>
      <c r="CL374" s="40"/>
      <c r="CM374" s="40"/>
      <c r="CN374" s="229"/>
      <c r="CO374" s="229"/>
      <c r="CP374" s="229"/>
      <c r="CQ374" s="229"/>
      <c r="CR374" s="229"/>
      <c r="CS374" s="229"/>
      <c r="CT374" s="229"/>
      <c r="CU374" s="229"/>
      <c r="CV374" s="229"/>
      <c r="CW374" s="229"/>
    </row>
    <row r="375" ht="15.75" hidden="1" customHeight="1">
      <c r="CD375" s="53"/>
      <c r="CE375" s="169"/>
      <c r="CF375" s="77"/>
      <c r="CG375" s="77"/>
      <c r="CH375" s="170"/>
      <c r="CI375" s="175"/>
      <c r="CJ375" s="175"/>
      <c r="CK375" s="172"/>
      <c r="CL375" s="40"/>
      <c r="CM375" s="40"/>
      <c r="CN375" s="229"/>
      <c r="CO375" s="229"/>
      <c r="CP375" s="229"/>
      <c r="CQ375" s="229"/>
      <c r="CR375" s="229"/>
      <c r="CS375" s="229"/>
      <c r="CT375" s="229"/>
      <c r="CU375" s="229"/>
      <c r="CV375" s="229"/>
      <c r="CW375" s="229"/>
    </row>
    <row r="376" ht="15.75" hidden="1" customHeight="1">
      <c r="CD376" s="53"/>
      <c r="CE376" s="169"/>
      <c r="CF376" s="77"/>
      <c r="CG376" s="77"/>
      <c r="CH376" s="170"/>
      <c r="CI376" s="175"/>
      <c r="CJ376" s="175"/>
      <c r="CK376" s="172"/>
      <c r="CL376" s="40"/>
      <c r="CM376" s="40"/>
      <c r="CN376" s="229"/>
      <c r="CO376" s="229"/>
      <c r="CP376" s="229"/>
      <c r="CQ376" s="229"/>
      <c r="CR376" s="229"/>
      <c r="CS376" s="229"/>
      <c r="CT376" s="229"/>
      <c r="CU376" s="229"/>
      <c r="CV376" s="229"/>
      <c r="CW376" s="229"/>
    </row>
    <row r="377" ht="15.75" hidden="1" customHeight="1">
      <c r="CD377" s="53"/>
      <c r="CE377" s="169"/>
      <c r="CF377" s="77"/>
      <c r="CG377" s="77"/>
      <c r="CH377" s="170"/>
      <c r="CI377" s="175"/>
      <c r="CJ377" s="175"/>
      <c r="CK377" s="172"/>
      <c r="CL377" s="40"/>
      <c r="CM377" s="40"/>
      <c r="CN377" s="229"/>
      <c r="CO377" s="229"/>
      <c r="CP377" s="229"/>
      <c r="CQ377" s="229"/>
      <c r="CR377" s="229"/>
      <c r="CS377" s="229"/>
      <c r="CT377" s="229"/>
      <c r="CU377" s="229"/>
      <c r="CV377" s="229"/>
      <c r="CW377" s="229"/>
    </row>
    <row r="378" ht="15.75" hidden="1" customHeight="1">
      <c r="CD378" s="53"/>
      <c r="CE378" s="169"/>
      <c r="CF378" s="77"/>
      <c r="CG378" s="77"/>
      <c r="CH378" s="170"/>
      <c r="CI378" s="175"/>
      <c r="CJ378" s="175"/>
      <c r="CK378" s="172"/>
      <c r="CL378" s="40"/>
      <c r="CM378" s="40"/>
      <c r="CN378" s="229"/>
      <c r="CO378" s="229"/>
      <c r="CP378" s="229"/>
      <c r="CQ378" s="229"/>
      <c r="CR378" s="229"/>
      <c r="CS378" s="229"/>
      <c r="CT378" s="229"/>
      <c r="CU378" s="229"/>
      <c r="CV378" s="229"/>
      <c r="CW378" s="229"/>
    </row>
    <row r="379" ht="15.75" hidden="1" customHeight="1">
      <c r="CD379" s="53"/>
      <c r="CE379" s="169"/>
      <c r="CF379" s="77"/>
      <c r="CG379" s="77"/>
      <c r="CH379" s="170"/>
      <c r="CI379" s="175"/>
      <c r="CJ379" s="175"/>
      <c r="CK379" s="172"/>
      <c r="CL379" s="40"/>
      <c r="CM379" s="40"/>
      <c r="CN379" s="229"/>
      <c r="CO379" s="229"/>
      <c r="CP379" s="229"/>
      <c r="CQ379" s="229"/>
      <c r="CR379" s="229"/>
      <c r="CS379" s="229"/>
      <c r="CT379" s="229"/>
      <c r="CU379" s="229"/>
      <c r="CV379" s="229"/>
      <c r="CW379" s="229"/>
    </row>
    <row r="380" ht="15.75" hidden="1" customHeight="1">
      <c r="CD380" s="53"/>
      <c r="CE380" s="169"/>
      <c r="CF380" s="77"/>
      <c r="CG380" s="77"/>
      <c r="CH380" s="170"/>
      <c r="CI380" s="175"/>
      <c r="CJ380" s="175"/>
      <c r="CK380" s="172"/>
      <c r="CL380" s="40"/>
      <c r="CM380" s="40"/>
      <c r="CN380" s="229"/>
      <c r="CO380" s="229"/>
      <c r="CP380" s="229"/>
      <c r="CQ380" s="229"/>
      <c r="CR380" s="229"/>
      <c r="CS380" s="229"/>
      <c r="CT380" s="229"/>
      <c r="CU380" s="229"/>
      <c r="CV380" s="229"/>
      <c r="CW380" s="229"/>
    </row>
    <row r="381" ht="15.75" hidden="1" customHeight="1">
      <c r="CD381" s="53"/>
      <c r="CE381" s="169"/>
      <c r="CF381" s="77"/>
      <c r="CG381" s="77"/>
      <c r="CH381" s="170"/>
      <c r="CI381" s="175"/>
      <c r="CJ381" s="175"/>
      <c r="CK381" s="172"/>
      <c r="CL381" s="40"/>
      <c r="CM381" s="40"/>
      <c r="CN381" s="229"/>
      <c r="CO381" s="229"/>
      <c r="CP381" s="229"/>
      <c r="CQ381" s="229"/>
      <c r="CR381" s="229"/>
      <c r="CS381" s="229"/>
      <c r="CT381" s="229"/>
      <c r="CU381" s="229"/>
      <c r="CV381" s="229"/>
      <c r="CW381" s="229"/>
    </row>
    <row r="382" ht="15.75" hidden="1" customHeight="1">
      <c r="CD382" s="53"/>
      <c r="CE382" s="169"/>
      <c r="CF382" s="77"/>
      <c r="CG382" s="77"/>
      <c r="CH382" s="170"/>
      <c r="CI382" s="175"/>
      <c r="CJ382" s="175"/>
      <c r="CK382" s="172"/>
      <c r="CL382" s="40"/>
      <c r="CM382" s="40"/>
      <c r="CN382" s="229"/>
      <c r="CO382" s="229"/>
      <c r="CP382" s="229"/>
      <c r="CQ382" s="229"/>
      <c r="CR382" s="229"/>
      <c r="CS382" s="229"/>
      <c r="CT382" s="229"/>
      <c r="CU382" s="229"/>
      <c r="CV382" s="229"/>
      <c r="CW382" s="229"/>
    </row>
    <row r="383" ht="15.75" hidden="1" customHeight="1">
      <c r="CD383" s="53"/>
      <c r="CE383" s="169"/>
      <c r="CF383" s="77"/>
      <c r="CG383" s="77"/>
      <c r="CH383" s="170"/>
      <c r="CI383" s="175"/>
      <c r="CJ383" s="175"/>
      <c r="CK383" s="172"/>
      <c r="CL383" s="40"/>
      <c r="CM383" s="40"/>
      <c r="CN383" s="229"/>
      <c r="CO383" s="229"/>
      <c r="CP383" s="229"/>
      <c r="CQ383" s="229"/>
      <c r="CR383" s="229"/>
      <c r="CS383" s="229"/>
      <c r="CT383" s="229"/>
      <c r="CU383" s="229"/>
      <c r="CV383" s="229"/>
      <c r="CW383" s="229"/>
    </row>
    <row r="384" ht="15.75" hidden="1" customHeight="1">
      <c r="CD384" s="53"/>
      <c r="CE384" s="169"/>
      <c r="CF384" s="77"/>
      <c r="CG384" s="77"/>
      <c r="CH384" s="170"/>
      <c r="CI384" s="175"/>
      <c r="CJ384" s="175"/>
      <c r="CK384" s="172"/>
      <c r="CL384" s="40"/>
      <c r="CM384" s="40"/>
      <c r="CN384" s="229"/>
      <c r="CO384" s="229"/>
      <c r="CP384" s="229"/>
      <c r="CQ384" s="229"/>
      <c r="CR384" s="229"/>
      <c r="CS384" s="229"/>
      <c r="CT384" s="229"/>
      <c r="CU384" s="229"/>
      <c r="CV384" s="229"/>
      <c r="CW384" s="229"/>
    </row>
    <row r="385" ht="15.75" hidden="1" customHeight="1">
      <c r="CD385" s="53"/>
      <c r="CE385" s="169"/>
      <c r="CF385" s="77"/>
      <c r="CG385" s="77"/>
      <c r="CH385" s="170"/>
      <c r="CI385" s="175"/>
      <c r="CJ385" s="175"/>
      <c r="CK385" s="172"/>
      <c r="CL385" s="40"/>
      <c r="CM385" s="40"/>
      <c r="CN385" s="229"/>
      <c r="CO385" s="229"/>
      <c r="CP385" s="229"/>
      <c r="CQ385" s="229"/>
      <c r="CR385" s="229"/>
      <c r="CS385" s="229"/>
      <c r="CT385" s="229"/>
      <c r="CU385" s="229"/>
      <c r="CV385" s="229"/>
      <c r="CW385" s="229"/>
    </row>
    <row r="386" ht="15.75" hidden="1" customHeight="1">
      <c r="CD386" s="53"/>
      <c r="CE386" s="169"/>
      <c r="CF386" s="77"/>
      <c r="CG386" s="77"/>
      <c r="CH386" s="170"/>
      <c r="CI386" s="175"/>
      <c r="CJ386" s="175"/>
      <c r="CK386" s="172"/>
      <c r="CL386" s="40"/>
      <c r="CM386" s="40"/>
      <c r="CN386" s="229"/>
      <c r="CO386" s="229"/>
      <c r="CP386" s="229"/>
      <c r="CQ386" s="229"/>
      <c r="CR386" s="229"/>
      <c r="CS386" s="229"/>
      <c r="CT386" s="229"/>
      <c r="CU386" s="229"/>
      <c r="CV386" s="229"/>
      <c r="CW386" s="229"/>
    </row>
    <row r="387" ht="15.75" hidden="1" customHeight="1">
      <c r="CD387" s="53"/>
      <c r="CE387" s="180"/>
      <c r="CF387" s="77"/>
      <c r="CG387" s="77"/>
      <c r="CH387" s="181"/>
      <c r="CI387" s="182"/>
      <c r="CJ387" s="182"/>
      <c r="CK387" s="172"/>
      <c r="CL387" s="40"/>
      <c r="CM387" s="40"/>
      <c r="CN387" s="229"/>
      <c r="CO387" s="229"/>
      <c r="CP387" s="229"/>
      <c r="CQ387" s="229"/>
      <c r="CR387" s="229"/>
      <c r="CS387" s="229"/>
      <c r="CT387" s="229"/>
      <c r="CU387" s="229"/>
      <c r="CV387" s="229"/>
      <c r="CW387" s="229"/>
    </row>
    <row r="388" ht="15.75" hidden="1" customHeight="1">
      <c r="CD388" s="53"/>
      <c r="CE388" s="190"/>
      <c r="CF388" s="77"/>
      <c r="CG388" s="77"/>
      <c r="CH388" s="188"/>
      <c r="CI388" s="175"/>
      <c r="CJ388" s="175"/>
      <c r="CK388" s="189"/>
      <c r="CL388" s="40"/>
      <c r="CM388" s="40"/>
      <c r="CN388" s="229"/>
      <c r="CO388" s="229"/>
      <c r="CP388" s="229"/>
      <c r="CQ388" s="229"/>
      <c r="CR388" s="229"/>
      <c r="CS388" s="229"/>
      <c r="CT388" s="229"/>
      <c r="CU388" s="229"/>
      <c r="CV388" s="229"/>
      <c r="CW388" s="229"/>
    </row>
    <row r="389" ht="15.75" hidden="1" customHeight="1">
      <c r="CD389" s="53"/>
      <c r="CE389" s="190"/>
      <c r="CF389" s="77"/>
      <c r="CG389" s="77"/>
      <c r="CH389" s="188"/>
      <c r="CI389" s="175"/>
      <c r="CJ389" s="175"/>
      <c r="CK389" s="192"/>
      <c r="CL389" s="40"/>
      <c r="CM389" s="40"/>
      <c r="CN389" s="229"/>
      <c r="CO389" s="229"/>
      <c r="CP389" s="229"/>
      <c r="CQ389" s="229"/>
      <c r="CR389" s="229"/>
      <c r="CS389" s="229"/>
      <c r="CT389" s="229"/>
      <c r="CU389" s="229"/>
      <c r="CV389" s="229"/>
      <c r="CW389" s="229"/>
    </row>
    <row r="390" ht="15.75" hidden="1" customHeight="1">
      <c r="CD390" s="53"/>
      <c r="CE390" s="190"/>
      <c r="CF390" s="77"/>
      <c r="CG390" s="77"/>
      <c r="CH390" s="188"/>
      <c r="CI390" s="175"/>
      <c r="CJ390" s="175"/>
      <c r="CK390" s="192"/>
      <c r="CL390" s="40"/>
      <c r="CM390" s="40"/>
      <c r="CN390" s="229"/>
      <c r="CO390" s="229"/>
      <c r="CP390" s="229"/>
      <c r="CQ390" s="229"/>
      <c r="CR390" s="229"/>
      <c r="CS390" s="229"/>
      <c r="CT390" s="229"/>
      <c r="CU390" s="229"/>
      <c r="CV390" s="229"/>
      <c r="CW390" s="229"/>
    </row>
    <row r="391" ht="15.75" hidden="1" customHeight="1">
      <c r="CD391" s="53"/>
      <c r="CE391" s="187"/>
      <c r="CF391" s="77"/>
      <c r="CG391" s="77"/>
      <c r="CH391" s="188"/>
      <c r="CI391" s="175"/>
      <c r="CJ391" s="175"/>
      <c r="CK391" s="192"/>
      <c r="CL391" s="40"/>
      <c r="CM391" s="40"/>
      <c r="CN391" s="229"/>
      <c r="CO391" s="229"/>
      <c r="CP391" s="229"/>
      <c r="CQ391" s="229"/>
      <c r="CR391" s="229"/>
      <c r="CS391" s="229"/>
      <c r="CT391" s="229"/>
      <c r="CU391" s="229"/>
      <c r="CV391" s="229"/>
      <c r="CW391" s="229"/>
    </row>
    <row r="392" ht="15.75" hidden="1" customHeight="1">
      <c r="CD392" s="53"/>
      <c r="CE392" s="190"/>
      <c r="CF392" s="77"/>
      <c r="CG392" s="77"/>
      <c r="CH392" s="188"/>
      <c r="CI392" s="175"/>
      <c r="CJ392" s="175"/>
      <c r="CK392" s="192"/>
      <c r="CL392" s="40"/>
      <c r="CM392" s="40"/>
      <c r="CN392" s="229"/>
      <c r="CO392" s="229"/>
      <c r="CP392" s="229"/>
      <c r="CQ392" s="229"/>
      <c r="CR392" s="229"/>
      <c r="CS392" s="229"/>
      <c r="CT392" s="229"/>
      <c r="CU392" s="229"/>
      <c r="CV392" s="229"/>
      <c r="CW392" s="229"/>
    </row>
    <row r="393" ht="15.75" hidden="1" customHeight="1">
      <c r="CD393" s="53"/>
      <c r="CE393" s="190"/>
      <c r="CF393" s="77"/>
      <c r="CG393" s="77"/>
      <c r="CH393" s="188"/>
      <c r="CI393" s="175"/>
      <c r="CJ393" s="175"/>
      <c r="CK393" s="192"/>
      <c r="CL393" s="40"/>
      <c r="CM393" s="40"/>
      <c r="CN393" s="229"/>
      <c r="CO393" s="229"/>
      <c r="CP393" s="229"/>
      <c r="CQ393" s="229"/>
      <c r="CR393" s="229"/>
      <c r="CS393" s="229"/>
      <c r="CT393" s="229"/>
      <c r="CU393" s="229"/>
      <c r="CV393" s="229"/>
      <c r="CW393" s="229"/>
    </row>
    <row r="394" ht="15.75" hidden="1" customHeight="1">
      <c r="CD394" s="53"/>
      <c r="CE394" s="198"/>
      <c r="CF394" s="77"/>
      <c r="CG394" s="77"/>
      <c r="CH394" s="196"/>
      <c r="CI394" s="197"/>
      <c r="CJ394" s="197"/>
      <c r="CK394" s="192"/>
      <c r="CL394" s="40"/>
      <c r="CM394" s="40"/>
      <c r="CN394" s="229"/>
      <c r="CO394" s="229"/>
      <c r="CP394" s="229"/>
      <c r="CQ394" s="229"/>
      <c r="CR394" s="229"/>
      <c r="CS394" s="229"/>
      <c r="CT394" s="229"/>
      <c r="CU394" s="229"/>
      <c r="CV394" s="229"/>
      <c r="CW394" s="229"/>
    </row>
    <row r="395" ht="15.75" hidden="1" customHeight="1">
      <c r="CD395" s="53"/>
      <c r="CE395" s="180"/>
      <c r="CF395" s="201"/>
      <c r="CG395" s="201"/>
      <c r="CH395" s="181"/>
      <c r="CI395" s="182"/>
      <c r="CJ395" s="182"/>
      <c r="CK395" s="192"/>
      <c r="CL395" s="40"/>
      <c r="CM395" s="40"/>
      <c r="CN395" s="229"/>
      <c r="CO395" s="229"/>
      <c r="CP395" s="229"/>
      <c r="CQ395" s="229"/>
      <c r="CR395" s="229"/>
      <c r="CS395" s="229"/>
      <c r="CT395" s="229"/>
      <c r="CU395" s="229"/>
      <c r="CV395" s="229"/>
      <c r="CW395" s="229"/>
    </row>
    <row r="396" ht="15.75" hidden="1" customHeight="1">
      <c r="CD396" s="53"/>
      <c r="CE396" s="187"/>
      <c r="CF396" s="77"/>
      <c r="CG396" s="77"/>
      <c r="CH396" s="188"/>
      <c r="CI396" s="175"/>
      <c r="CJ396" s="175"/>
      <c r="CK396" s="192"/>
      <c r="CL396" s="40"/>
      <c r="CM396" s="40"/>
      <c r="CN396" s="229"/>
      <c r="CO396" s="229"/>
      <c r="CP396" s="229"/>
      <c r="CQ396" s="229"/>
      <c r="CR396" s="229"/>
      <c r="CS396" s="229"/>
      <c r="CT396" s="229"/>
      <c r="CU396" s="229"/>
      <c r="CV396" s="229"/>
      <c r="CW396" s="229"/>
    </row>
    <row r="397" ht="15.75" hidden="1" customHeight="1">
      <c r="CD397" s="53"/>
      <c r="CE397" s="187"/>
      <c r="CF397" s="77"/>
      <c r="CG397" s="77"/>
      <c r="CH397" s="188"/>
      <c r="CI397" s="175"/>
      <c r="CJ397" s="175"/>
      <c r="CK397" s="192"/>
      <c r="CL397" s="40"/>
      <c r="CM397" s="40"/>
      <c r="CN397" s="229"/>
      <c r="CO397" s="229"/>
      <c r="CP397" s="229"/>
      <c r="CQ397" s="229"/>
      <c r="CR397" s="229"/>
      <c r="CS397" s="229"/>
      <c r="CT397" s="229"/>
      <c r="CU397" s="229"/>
      <c r="CV397" s="229"/>
      <c r="CW397" s="229"/>
    </row>
    <row r="398" ht="15.75" hidden="1" customHeight="1">
      <c r="CD398" s="53"/>
      <c r="CE398" s="195"/>
      <c r="CF398" s="77"/>
      <c r="CG398" s="77"/>
      <c r="CH398" s="196"/>
      <c r="CI398" s="197"/>
      <c r="CJ398" s="197"/>
      <c r="CK398" s="192"/>
      <c r="CL398" s="40"/>
      <c r="CM398" s="40"/>
      <c r="CN398" s="229"/>
      <c r="CO398" s="229"/>
      <c r="CP398" s="229"/>
      <c r="CQ398" s="229"/>
      <c r="CR398" s="229"/>
      <c r="CS398" s="229"/>
      <c r="CT398" s="229"/>
      <c r="CU398" s="229"/>
      <c r="CV398" s="229"/>
      <c r="CW398" s="229"/>
    </row>
    <row r="399" ht="15.75" hidden="1" customHeight="1">
      <c r="CD399" s="53"/>
      <c r="CE399" s="180"/>
      <c r="CF399" s="201"/>
      <c r="CG399" s="201"/>
      <c r="CH399" s="181"/>
      <c r="CI399" s="182"/>
      <c r="CJ399" s="182"/>
      <c r="CK399" s="192"/>
      <c r="CL399" s="40"/>
      <c r="CM399" s="40"/>
      <c r="CN399" s="229"/>
      <c r="CO399" s="229"/>
      <c r="CP399" s="229"/>
      <c r="CQ399" s="229"/>
      <c r="CR399" s="229"/>
      <c r="CS399" s="229"/>
      <c r="CT399" s="229"/>
      <c r="CU399" s="229"/>
      <c r="CV399" s="229"/>
      <c r="CW399" s="229"/>
    </row>
    <row r="400" ht="15.75" hidden="1" customHeight="1">
      <c r="CD400" s="53"/>
      <c r="CE400" s="195"/>
      <c r="CF400" s="77"/>
      <c r="CG400" s="77"/>
      <c r="CH400" s="196"/>
      <c r="CI400" s="197"/>
      <c r="CJ400" s="197"/>
      <c r="CK400" s="192"/>
      <c r="CL400" s="40"/>
      <c r="CM400" s="40"/>
      <c r="CN400" s="229"/>
      <c r="CO400" s="229"/>
      <c r="CP400" s="229"/>
      <c r="CQ400" s="229"/>
      <c r="CR400" s="229"/>
      <c r="CS400" s="229"/>
      <c r="CT400" s="229"/>
      <c r="CU400" s="229"/>
      <c r="CV400" s="229"/>
      <c r="CW400" s="229"/>
    </row>
    <row r="401" ht="15.75" hidden="1" customHeight="1">
      <c r="CD401" s="53"/>
      <c r="CE401" s="207"/>
      <c r="CF401" s="77"/>
      <c r="CG401" s="77"/>
      <c r="CH401" s="208"/>
      <c r="CI401" s="209"/>
      <c r="CJ401" s="209"/>
      <c r="CK401" s="192"/>
      <c r="CL401" s="40"/>
      <c r="CM401" s="40"/>
      <c r="CN401" s="229"/>
      <c r="CO401" s="229"/>
      <c r="CP401" s="229"/>
      <c r="CQ401" s="229"/>
      <c r="CR401" s="229"/>
      <c r="CS401" s="229"/>
      <c r="CT401" s="229"/>
      <c r="CU401" s="229"/>
      <c r="CV401" s="229"/>
      <c r="CW401" s="229"/>
    </row>
    <row r="402" ht="15.75" hidden="1" customHeight="1">
      <c r="CD402" s="64"/>
      <c r="CE402" s="54"/>
      <c r="CF402" s="55"/>
      <c r="CG402" s="55"/>
      <c r="CH402" s="54"/>
      <c r="CI402" s="54"/>
      <c r="CJ402" s="54"/>
      <c r="CK402" s="16"/>
      <c r="CL402" s="55"/>
      <c r="CM402" s="70"/>
      <c r="CN402" s="229"/>
      <c r="CO402" s="229"/>
      <c r="CP402" s="229"/>
      <c r="CQ402" s="229"/>
      <c r="CR402" s="229"/>
      <c r="CS402" s="229"/>
      <c r="CT402" s="229"/>
      <c r="CU402" s="229"/>
      <c r="CV402" s="229"/>
      <c r="CW402" s="229"/>
    </row>
    <row r="403" ht="15.75" hidden="1" customHeight="1">
      <c r="CD403" s="54"/>
      <c r="CE403" s="54"/>
      <c r="CF403" s="55"/>
      <c r="CG403" s="55"/>
      <c r="CH403" s="54"/>
      <c r="CI403" s="54"/>
      <c r="CJ403" s="54"/>
      <c r="CK403" s="16"/>
      <c r="CL403" s="55"/>
      <c r="CM403" s="70"/>
      <c r="CN403" s="229"/>
      <c r="CO403" s="229"/>
      <c r="CP403" s="229"/>
      <c r="CQ403" s="229"/>
      <c r="CR403" s="229"/>
      <c r="CS403" s="229"/>
      <c r="CT403" s="229"/>
      <c r="CU403" s="229"/>
      <c r="CV403" s="229"/>
      <c r="CW403" s="229"/>
    </row>
    <row r="404" ht="15.75" hidden="1" customHeight="1">
      <c r="CD404" s="216"/>
      <c r="CE404" s="217"/>
      <c r="CF404" s="218"/>
      <c r="CG404" s="118"/>
      <c r="CH404" s="118"/>
      <c r="CI404" s="118"/>
      <c r="CJ404" s="118"/>
      <c r="CK404" s="117"/>
      <c r="CL404" s="219"/>
      <c r="CM404" s="220"/>
      <c r="CN404" s="229"/>
      <c r="CO404" s="229"/>
      <c r="CP404" s="229"/>
      <c r="CQ404" s="229"/>
      <c r="CR404" s="229"/>
      <c r="CS404" s="229"/>
      <c r="CT404" s="229"/>
      <c r="CU404" s="229"/>
      <c r="CV404" s="229"/>
      <c r="CW404" s="229"/>
    </row>
    <row r="405" ht="15.75" hidden="1" customHeight="1">
      <c r="CD405" s="16"/>
      <c r="CE405" s="217"/>
      <c r="CF405" s="218"/>
      <c r="CG405" s="118"/>
      <c r="CH405" s="118"/>
      <c r="CI405" s="118"/>
      <c r="CJ405" s="118"/>
      <c r="CK405" s="117"/>
      <c r="CL405" s="227"/>
      <c r="CM405" s="228"/>
      <c r="CN405" s="229"/>
      <c r="CO405" s="229"/>
      <c r="CP405" s="229"/>
      <c r="CQ405" s="229"/>
      <c r="CR405" s="229"/>
      <c r="CS405" s="229"/>
      <c r="CT405" s="229"/>
      <c r="CU405" s="229"/>
      <c r="CV405" s="229"/>
      <c r="CW405" s="229"/>
    </row>
    <row r="406" ht="15.75" hidden="1" customHeight="1">
      <c r="CD406" s="4"/>
      <c r="CE406" s="2"/>
      <c r="CF406" s="2"/>
      <c r="CG406" s="2"/>
      <c r="CH406" s="2"/>
      <c r="CI406" s="5"/>
      <c r="CJ406" s="5"/>
      <c r="CK406" s="5"/>
      <c r="CL406" s="5"/>
      <c r="CM406" s="6"/>
      <c r="CN406" s="229"/>
      <c r="CO406" s="229"/>
      <c r="CP406" s="229"/>
      <c r="CQ406" s="229"/>
      <c r="CR406" s="229"/>
      <c r="CS406" s="229"/>
      <c r="CT406" s="229"/>
      <c r="CU406" s="229"/>
      <c r="CV406" s="229"/>
      <c r="CW406" s="229"/>
    </row>
    <row r="407" ht="15.75" hidden="1" customHeight="1">
      <c r="CD407" s="11"/>
      <c r="CI407" s="12"/>
      <c r="CJ407" s="12"/>
      <c r="CK407" s="12"/>
      <c r="CL407" s="13"/>
      <c r="CM407" s="14"/>
      <c r="CN407" s="229"/>
      <c r="CO407" s="229"/>
      <c r="CP407" s="229"/>
      <c r="CQ407" s="229"/>
      <c r="CR407" s="229"/>
      <c r="CS407" s="229"/>
      <c r="CT407" s="229"/>
      <c r="CU407" s="229"/>
      <c r="CV407" s="229"/>
      <c r="CW407" s="229"/>
    </row>
    <row r="408" ht="15.75" hidden="1" customHeight="1">
      <c r="CD408" s="17"/>
      <c r="CE408" s="18"/>
      <c r="CF408" s="18"/>
      <c r="CG408" s="18"/>
      <c r="CH408" s="18"/>
      <c r="CI408" s="18"/>
      <c r="CJ408" s="18"/>
      <c r="CK408" s="18"/>
      <c r="CL408" s="18"/>
      <c r="CM408" s="18"/>
      <c r="CN408" s="229"/>
      <c r="CO408" s="229"/>
      <c r="CP408" s="229"/>
      <c r="CQ408" s="229"/>
      <c r="CR408" s="229"/>
      <c r="CS408" s="229"/>
      <c r="CT408" s="229"/>
      <c r="CU408" s="229"/>
      <c r="CV408" s="229"/>
      <c r="CW408" s="229"/>
    </row>
    <row r="409" ht="15.75" hidden="1" customHeight="1">
      <c r="CD409" s="23"/>
      <c r="CE409" s="24"/>
      <c r="CF409" s="28"/>
      <c r="CG409" s="26"/>
      <c r="CH409" s="26"/>
      <c r="CI409" s="26"/>
      <c r="CJ409" s="26"/>
      <c r="CK409" s="27"/>
      <c r="CL409" s="27"/>
      <c r="CM409" s="27"/>
      <c r="CN409" s="229"/>
      <c r="CO409" s="229"/>
      <c r="CP409" s="229"/>
      <c r="CQ409" s="229"/>
      <c r="CR409" s="229"/>
      <c r="CS409" s="229"/>
      <c r="CT409" s="229"/>
      <c r="CU409" s="229"/>
      <c r="CV409" s="229"/>
      <c r="CW409" s="229"/>
    </row>
    <row r="410" ht="15.75" hidden="1" customHeight="1">
      <c r="CD410" s="23"/>
      <c r="CE410" s="26"/>
      <c r="CF410" s="39"/>
      <c r="CG410" s="26"/>
      <c r="CH410" s="26"/>
      <c r="CI410" s="26"/>
      <c r="CJ410" s="26"/>
      <c r="CK410" s="40"/>
      <c r="CL410" s="40"/>
      <c r="CM410" s="40"/>
      <c r="CN410" s="229"/>
      <c r="CO410" s="229"/>
      <c r="CP410" s="229"/>
      <c r="CQ410" s="229"/>
      <c r="CR410" s="229"/>
      <c r="CS410" s="229"/>
      <c r="CT410" s="229"/>
      <c r="CU410" s="229"/>
      <c r="CV410" s="229"/>
      <c r="CW410" s="229"/>
    </row>
    <row r="411" ht="15.75" hidden="1" customHeight="1">
      <c r="CD411" s="45"/>
      <c r="CE411" s="46"/>
      <c r="CF411" s="46"/>
      <c r="CG411" s="46"/>
      <c r="CH411" s="46"/>
      <c r="CI411" s="46"/>
      <c r="CJ411" s="46"/>
      <c r="CK411" s="46"/>
      <c r="CL411" s="47"/>
      <c r="CM411" s="47"/>
      <c r="CN411" s="229"/>
      <c r="CO411" s="229"/>
      <c r="CP411" s="229"/>
      <c r="CQ411" s="229"/>
      <c r="CR411" s="229"/>
      <c r="CS411" s="229"/>
      <c r="CT411" s="229"/>
      <c r="CU411" s="229"/>
      <c r="CV411" s="229"/>
      <c r="CW411" s="229"/>
    </row>
    <row r="412" ht="15.75" hidden="1" customHeight="1">
      <c r="CD412" s="53"/>
      <c r="CE412" s="54"/>
      <c r="CF412" s="54"/>
      <c r="CG412" s="54"/>
      <c r="CH412" s="54"/>
      <c r="CI412" s="54"/>
      <c r="CJ412" s="54"/>
      <c r="CK412" s="54"/>
      <c r="CL412" s="55"/>
      <c r="CM412" s="56"/>
      <c r="CN412" s="229"/>
      <c r="CO412" s="229"/>
      <c r="CP412" s="229"/>
      <c r="CQ412" s="229"/>
      <c r="CR412" s="229"/>
      <c r="CS412" s="229"/>
      <c r="CT412" s="229"/>
      <c r="CU412" s="229"/>
      <c r="CV412" s="229"/>
      <c r="CW412" s="229"/>
    </row>
    <row r="413" ht="15.75" hidden="1" customHeight="1">
      <c r="CD413" s="64"/>
      <c r="CE413" s="65"/>
      <c r="CF413" s="62"/>
      <c r="CG413" s="62"/>
      <c r="CH413" s="66"/>
      <c r="CI413" s="54"/>
      <c r="CJ413" s="54"/>
      <c r="CK413" s="71"/>
      <c r="CL413" s="68"/>
      <c r="CM413" s="70"/>
      <c r="CN413" s="229"/>
      <c r="CO413" s="229"/>
      <c r="CP413" s="229"/>
      <c r="CQ413" s="229"/>
      <c r="CR413" s="229"/>
      <c r="CS413" s="229"/>
      <c r="CT413" s="229"/>
      <c r="CU413" s="229"/>
      <c r="CV413" s="229"/>
      <c r="CW413" s="229"/>
    </row>
    <row r="414" ht="15.75" hidden="1" customHeight="1">
      <c r="CD414" s="64"/>
      <c r="CE414" s="65"/>
      <c r="CF414" s="62"/>
      <c r="CG414" s="62"/>
      <c r="CH414" s="66"/>
      <c r="CI414" s="54"/>
      <c r="CJ414" s="54"/>
      <c r="CK414" s="67"/>
      <c r="CL414" s="78"/>
      <c r="CM414" s="70"/>
      <c r="CN414" s="229"/>
      <c r="CO414" s="229"/>
      <c r="CP414" s="229"/>
      <c r="CQ414" s="229"/>
      <c r="CR414" s="229"/>
      <c r="CS414" s="229"/>
      <c r="CT414" s="229"/>
      <c r="CU414" s="229"/>
      <c r="CV414" s="229"/>
      <c r="CW414" s="229"/>
    </row>
    <row r="415" ht="15.75" hidden="1" customHeight="1">
      <c r="CD415" s="64"/>
      <c r="CE415" s="65"/>
      <c r="CF415" s="62"/>
      <c r="CG415" s="62"/>
      <c r="CH415" s="66"/>
      <c r="CI415" s="54"/>
      <c r="CJ415" s="54"/>
      <c r="CK415" s="67"/>
      <c r="CL415" s="78"/>
      <c r="CM415" s="70"/>
      <c r="CN415" s="229"/>
      <c r="CO415" s="229"/>
      <c r="CP415" s="229"/>
      <c r="CQ415" s="229"/>
      <c r="CR415" s="229"/>
      <c r="CS415" s="229"/>
      <c r="CT415" s="229"/>
      <c r="CU415" s="229"/>
      <c r="CV415" s="229"/>
      <c r="CW415" s="229"/>
    </row>
    <row r="416" ht="15.75" hidden="1" customHeight="1">
      <c r="CD416" s="64"/>
      <c r="CE416" s="65"/>
      <c r="CF416" s="62"/>
      <c r="CG416" s="62"/>
      <c r="CH416" s="66"/>
      <c r="CI416" s="54"/>
      <c r="CJ416" s="54"/>
      <c r="CK416" s="67"/>
      <c r="CL416" s="78"/>
      <c r="CM416" s="70"/>
      <c r="CN416" s="229"/>
      <c r="CO416" s="229"/>
      <c r="CP416" s="229"/>
      <c r="CQ416" s="229"/>
      <c r="CR416" s="229"/>
      <c r="CS416" s="229"/>
      <c r="CT416" s="229"/>
      <c r="CU416" s="229"/>
      <c r="CV416" s="229"/>
      <c r="CW416" s="229"/>
    </row>
    <row r="417" ht="15.75" hidden="1" customHeight="1">
      <c r="CD417" s="64"/>
      <c r="CE417" s="65"/>
      <c r="CF417" s="62"/>
      <c r="CG417" s="62"/>
      <c r="CH417" s="66"/>
      <c r="CI417" s="54"/>
      <c r="CJ417" s="54"/>
      <c r="CK417" s="67"/>
      <c r="CL417" s="78"/>
      <c r="CM417" s="70"/>
      <c r="CN417" s="229"/>
      <c r="CO417" s="229"/>
      <c r="CP417" s="229"/>
      <c r="CQ417" s="229"/>
      <c r="CR417" s="229"/>
      <c r="CS417" s="229"/>
      <c r="CT417" s="229"/>
      <c r="CU417" s="229"/>
      <c r="CV417" s="229"/>
      <c r="CW417" s="229"/>
    </row>
    <row r="418" ht="15.75" hidden="1" customHeight="1">
      <c r="CD418" s="64"/>
      <c r="CE418" s="65"/>
      <c r="CF418" s="62"/>
      <c r="CG418" s="62"/>
      <c r="CH418" s="66"/>
      <c r="CI418" s="54"/>
      <c r="CJ418" s="54"/>
      <c r="CK418" s="67"/>
      <c r="CL418" s="78"/>
      <c r="CM418" s="70"/>
      <c r="CN418" s="229"/>
      <c r="CO418" s="229"/>
      <c r="CP418" s="229"/>
      <c r="CQ418" s="229"/>
      <c r="CR418" s="229"/>
      <c r="CS418" s="229"/>
      <c r="CT418" s="229"/>
      <c r="CU418" s="229"/>
      <c r="CV418" s="229"/>
      <c r="CW418" s="229"/>
    </row>
    <row r="419" ht="15.75" hidden="1" customHeight="1">
      <c r="CD419" s="64"/>
      <c r="CE419" s="65"/>
      <c r="CF419" s="62"/>
      <c r="CG419" s="62"/>
      <c r="CH419" s="66"/>
      <c r="CI419" s="54"/>
      <c r="CJ419" s="54"/>
      <c r="CK419" s="67"/>
      <c r="CL419" s="78"/>
      <c r="CM419" s="70"/>
      <c r="CN419" s="229"/>
      <c r="CO419" s="229"/>
      <c r="CP419" s="229"/>
      <c r="CQ419" s="229"/>
      <c r="CR419" s="229"/>
      <c r="CS419" s="229"/>
      <c r="CT419" s="229"/>
      <c r="CU419" s="229"/>
      <c r="CV419" s="229"/>
      <c r="CW419" s="229"/>
    </row>
    <row r="420" ht="15.75" hidden="1" customHeight="1">
      <c r="CD420" s="64"/>
      <c r="CE420" s="65"/>
      <c r="CF420" s="62"/>
      <c r="CG420" s="62"/>
      <c r="CH420" s="66"/>
      <c r="CI420" s="54"/>
      <c r="CJ420" s="54"/>
      <c r="CK420" s="67"/>
      <c r="CL420" s="78"/>
      <c r="CM420" s="70"/>
      <c r="CN420" s="229"/>
      <c r="CO420" s="229"/>
      <c r="CP420" s="229"/>
      <c r="CQ420" s="229"/>
      <c r="CR420" s="229"/>
      <c r="CS420" s="229"/>
      <c r="CT420" s="229"/>
      <c r="CU420" s="229"/>
      <c r="CV420" s="229"/>
      <c r="CW420" s="229"/>
    </row>
    <row r="421" ht="15.75" hidden="1" customHeight="1">
      <c r="CD421" s="64"/>
      <c r="CE421" s="65"/>
      <c r="CF421" s="62"/>
      <c r="CG421" s="62"/>
      <c r="CH421" s="66"/>
      <c r="CI421" s="54"/>
      <c r="CJ421" s="54"/>
      <c r="CK421" s="67"/>
      <c r="CL421" s="78"/>
      <c r="CM421" s="70"/>
      <c r="CN421" s="229"/>
      <c r="CO421" s="229"/>
      <c r="CP421" s="229"/>
      <c r="CQ421" s="229"/>
      <c r="CR421" s="229"/>
      <c r="CS421" s="229"/>
      <c r="CT421" s="229"/>
      <c r="CU421" s="229"/>
      <c r="CV421" s="229"/>
      <c r="CW421" s="229"/>
    </row>
    <row r="422" ht="15.75" hidden="1" customHeight="1">
      <c r="CD422" s="64"/>
      <c r="CE422" s="65"/>
      <c r="CF422" s="62"/>
      <c r="CG422" s="62"/>
      <c r="CH422" s="66"/>
      <c r="CI422" s="54"/>
      <c r="CJ422" s="54"/>
      <c r="CK422" s="67"/>
      <c r="CL422" s="78"/>
      <c r="CM422" s="70"/>
      <c r="CN422" s="229"/>
      <c r="CO422" s="229"/>
      <c r="CP422" s="229"/>
      <c r="CQ422" s="229"/>
      <c r="CR422" s="229"/>
      <c r="CS422" s="229"/>
      <c r="CT422" s="229"/>
      <c r="CU422" s="229"/>
      <c r="CV422" s="229"/>
      <c r="CW422" s="229"/>
    </row>
    <row r="423" ht="15.75" hidden="1" customHeight="1">
      <c r="CD423" s="64"/>
      <c r="CE423" s="65"/>
      <c r="CF423" s="62"/>
      <c r="CG423" s="62"/>
      <c r="CH423" s="66"/>
      <c r="CI423" s="54"/>
      <c r="CJ423" s="54"/>
      <c r="CK423" s="67"/>
      <c r="CL423" s="78"/>
      <c r="CM423" s="70"/>
      <c r="CN423" s="229"/>
      <c r="CO423" s="229"/>
      <c r="CP423" s="229"/>
      <c r="CQ423" s="229"/>
      <c r="CR423" s="229"/>
      <c r="CS423" s="229"/>
      <c r="CT423" s="229"/>
      <c r="CU423" s="229"/>
      <c r="CV423" s="229"/>
      <c r="CW423" s="229"/>
    </row>
    <row r="424" ht="15.75" hidden="1" customHeight="1">
      <c r="CD424" s="64"/>
      <c r="CE424" s="65"/>
      <c r="CF424" s="62"/>
      <c r="CG424" s="62"/>
      <c r="CH424" s="66"/>
      <c r="CI424" s="54"/>
      <c r="CJ424" s="54"/>
      <c r="CK424" s="67"/>
      <c r="CL424" s="78"/>
      <c r="CM424" s="70"/>
      <c r="CN424" s="229"/>
      <c r="CO424" s="229"/>
      <c r="CP424" s="229"/>
      <c r="CQ424" s="229"/>
      <c r="CR424" s="229"/>
      <c r="CS424" s="229"/>
      <c r="CT424" s="229"/>
      <c r="CU424" s="229"/>
      <c r="CV424" s="229"/>
      <c r="CW424" s="229"/>
    </row>
    <row r="425" ht="15.75" hidden="1" customHeight="1">
      <c r="CD425" s="64"/>
      <c r="CE425" s="65"/>
      <c r="CF425" s="62"/>
      <c r="CG425" s="62"/>
      <c r="CH425" s="66"/>
      <c r="CI425" s="54"/>
      <c r="CJ425" s="54"/>
      <c r="CK425" s="67"/>
      <c r="CL425" s="78"/>
      <c r="CM425" s="70"/>
      <c r="CN425" s="229"/>
      <c r="CO425" s="229"/>
      <c r="CP425" s="229"/>
      <c r="CQ425" s="229"/>
      <c r="CR425" s="229"/>
      <c r="CS425" s="229"/>
      <c r="CT425" s="229"/>
      <c r="CU425" s="229"/>
      <c r="CV425" s="229"/>
      <c r="CW425" s="229"/>
    </row>
    <row r="426" ht="15.75" hidden="1" customHeight="1">
      <c r="CD426" s="64"/>
      <c r="CE426" s="65"/>
      <c r="CF426" s="62"/>
      <c r="CG426" s="62"/>
      <c r="CH426" s="66"/>
      <c r="CI426" s="54"/>
      <c r="CJ426" s="54"/>
      <c r="CK426" s="67"/>
      <c r="CL426" s="78"/>
      <c r="CM426" s="70"/>
      <c r="CN426" s="229"/>
      <c r="CO426" s="229"/>
      <c r="CP426" s="229"/>
      <c r="CQ426" s="229"/>
      <c r="CR426" s="229"/>
      <c r="CS426" s="229"/>
      <c r="CT426" s="229"/>
      <c r="CU426" s="229"/>
      <c r="CV426" s="229"/>
      <c r="CW426" s="229"/>
    </row>
    <row r="427" ht="15.75" hidden="1" customHeight="1">
      <c r="CD427" s="64"/>
      <c r="CE427" s="65"/>
      <c r="CF427" s="62"/>
      <c r="CG427" s="62"/>
      <c r="CH427" s="66"/>
      <c r="CI427" s="54"/>
      <c r="CJ427" s="54"/>
      <c r="CK427" s="67"/>
      <c r="CL427" s="78"/>
      <c r="CM427" s="70"/>
      <c r="CN427" s="229"/>
      <c r="CO427" s="229"/>
      <c r="CP427" s="229"/>
      <c r="CQ427" s="229"/>
      <c r="CR427" s="229"/>
      <c r="CS427" s="229"/>
      <c r="CT427" s="229"/>
      <c r="CU427" s="229"/>
      <c r="CV427" s="229"/>
      <c r="CW427" s="229"/>
    </row>
    <row r="428" ht="15.75" hidden="1" customHeight="1">
      <c r="CD428" s="64"/>
      <c r="CE428" s="65"/>
      <c r="CF428" s="62"/>
      <c r="CG428" s="62"/>
      <c r="CH428" s="66"/>
      <c r="CI428" s="54"/>
      <c r="CJ428" s="54"/>
      <c r="CK428" s="67"/>
      <c r="CL428" s="78"/>
      <c r="CM428" s="70"/>
      <c r="CN428" s="229"/>
      <c r="CO428" s="229"/>
      <c r="CP428" s="229"/>
      <c r="CQ428" s="229"/>
      <c r="CR428" s="229"/>
      <c r="CS428" s="229"/>
      <c r="CT428" s="229"/>
      <c r="CU428" s="229"/>
      <c r="CV428" s="229"/>
      <c r="CW428" s="229"/>
    </row>
    <row r="429" ht="15.75" hidden="1" customHeight="1">
      <c r="CD429" s="64"/>
      <c r="CE429" s="65"/>
      <c r="CF429" s="62"/>
      <c r="CG429" s="62"/>
      <c r="CH429" s="66"/>
      <c r="CI429" s="54"/>
      <c r="CJ429" s="54"/>
      <c r="CK429" s="67"/>
      <c r="CL429" s="78"/>
      <c r="CM429" s="70"/>
      <c r="CN429" s="229"/>
      <c r="CO429" s="229"/>
      <c r="CP429" s="229"/>
      <c r="CQ429" s="229"/>
      <c r="CR429" s="229"/>
      <c r="CS429" s="229"/>
      <c r="CT429" s="229"/>
      <c r="CU429" s="229"/>
      <c r="CV429" s="229"/>
      <c r="CW429" s="229"/>
    </row>
    <row r="430" ht="15.75" hidden="1" customHeight="1">
      <c r="CD430" s="64"/>
      <c r="CE430" s="65"/>
      <c r="CF430" s="62"/>
      <c r="CG430" s="62"/>
      <c r="CH430" s="66"/>
      <c r="CI430" s="54"/>
      <c r="CJ430" s="54"/>
      <c r="CK430" s="67"/>
      <c r="CL430" s="78"/>
      <c r="CM430" s="70"/>
      <c r="CN430" s="229"/>
      <c r="CO430" s="229"/>
      <c r="CP430" s="229"/>
      <c r="CQ430" s="229"/>
      <c r="CR430" s="229"/>
      <c r="CS430" s="229"/>
      <c r="CT430" s="229"/>
      <c r="CU430" s="229"/>
      <c r="CV430" s="229"/>
      <c r="CW430" s="229"/>
    </row>
    <row r="431" ht="15.75" hidden="1" customHeight="1">
      <c r="CD431" s="64"/>
      <c r="CE431" s="65"/>
      <c r="CF431" s="62"/>
      <c r="CG431" s="62"/>
      <c r="CH431" s="66"/>
      <c r="CI431" s="54"/>
      <c r="CJ431" s="54"/>
      <c r="CK431" s="67"/>
      <c r="CL431" s="78"/>
      <c r="CM431" s="70"/>
      <c r="CN431" s="229"/>
      <c r="CO431" s="229"/>
      <c r="CP431" s="229"/>
      <c r="CQ431" s="229"/>
      <c r="CR431" s="229"/>
      <c r="CS431" s="229"/>
      <c r="CT431" s="229"/>
      <c r="CU431" s="229"/>
      <c r="CV431" s="229"/>
      <c r="CW431" s="229"/>
    </row>
    <row r="432" ht="15.75" hidden="1" customHeight="1">
      <c r="CD432" s="64"/>
      <c r="CE432" s="65"/>
      <c r="CF432" s="62"/>
      <c r="CG432" s="62"/>
      <c r="CH432" s="66"/>
      <c r="CI432" s="54"/>
      <c r="CJ432" s="54"/>
      <c r="CK432" s="67"/>
      <c r="CL432" s="78"/>
      <c r="CM432" s="70"/>
      <c r="CN432" s="229"/>
      <c r="CO432" s="229"/>
      <c r="CP432" s="229"/>
      <c r="CQ432" s="229"/>
      <c r="CR432" s="229"/>
      <c r="CS432" s="229"/>
      <c r="CT432" s="229"/>
      <c r="CU432" s="229"/>
      <c r="CV432" s="229"/>
      <c r="CW432" s="229"/>
    </row>
    <row r="433" ht="15.75" hidden="1" customHeight="1">
      <c r="CD433" s="64"/>
      <c r="CE433" s="65"/>
      <c r="CF433" s="62"/>
      <c r="CG433" s="62"/>
      <c r="CH433" s="66"/>
      <c r="CI433" s="54"/>
      <c r="CJ433" s="54"/>
      <c r="CK433" s="67"/>
      <c r="CL433" s="78"/>
      <c r="CM433" s="70"/>
      <c r="CN433" s="229"/>
      <c r="CO433" s="229"/>
      <c r="CP433" s="229"/>
      <c r="CQ433" s="229"/>
      <c r="CR433" s="229"/>
      <c r="CS433" s="229"/>
      <c r="CT433" s="229"/>
      <c r="CU433" s="229"/>
      <c r="CV433" s="229"/>
      <c r="CW433" s="229"/>
    </row>
    <row r="434" ht="15.75" hidden="1" customHeight="1">
      <c r="CD434" s="64"/>
      <c r="CE434" s="65"/>
      <c r="CF434" s="62"/>
      <c r="CG434" s="62"/>
      <c r="CH434" s="66"/>
      <c r="CI434" s="54"/>
      <c r="CJ434" s="54"/>
      <c r="CK434" s="67"/>
      <c r="CL434" s="78"/>
      <c r="CM434" s="70"/>
      <c r="CN434" s="229"/>
      <c r="CO434" s="229"/>
      <c r="CP434" s="229"/>
      <c r="CQ434" s="229"/>
      <c r="CR434" s="229"/>
      <c r="CS434" s="229"/>
      <c r="CT434" s="229"/>
      <c r="CU434" s="229"/>
      <c r="CV434" s="229"/>
      <c r="CW434" s="229"/>
    </row>
    <row r="435" ht="15.75" hidden="1" customHeight="1">
      <c r="CD435" s="64"/>
      <c r="CE435" s="65"/>
      <c r="CF435" s="62"/>
      <c r="CG435" s="62"/>
      <c r="CH435" s="66"/>
      <c r="CI435" s="54"/>
      <c r="CJ435" s="54"/>
      <c r="CK435" s="67"/>
      <c r="CL435" s="78"/>
      <c r="CM435" s="70"/>
      <c r="CN435" s="229"/>
      <c r="CO435" s="229"/>
      <c r="CP435" s="229"/>
      <c r="CQ435" s="229"/>
      <c r="CR435" s="229"/>
      <c r="CS435" s="229"/>
      <c r="CT435" s="229"/>
      <c r="CU435" s="229"/>
      <c r="CV435" s="229"/>
      <c r="CW435" s="229"/>
    </row>
    <row r="436" ht="15.75" hidden="1" customHeight="1">
      <c r="CD436" s="86"/>
      <c r="CE436" s="87"/>
      <c r="CF436" s="62"/>
      <c r="CG436" s="62"/>
      <c r="CH436" s="88"/>
      <c r="CI436" s="89"/>
      <c r="CJ436" s="89"/>
      <c r="CK436" s="90"/>
      <c r="CL436" s="91"/>
      <c r="CM436" s="92"/>
      <c r="CN436" s="229"/>
      <c r="CO436" s="229"/>
      <c r="CP436" s="229"/>
      <c r="CQ436" s="229"/>
      <c r="CR436" s="229"/>
      <c r="CS436" s="229"/>
      <c r="CT436" s="229"/>
      <c r="CU436" s="229"/>
      <c r="CV436" s="229"/>
      <c r="CW436" s="229"/>
    </row>
    <row r="437" ht="15.75" hidden="1" customHeight="1">
      <c r="CD437" s="64"/>
      <c r="CE437" s="65"/>
      <c r="CF437" s="62"/>
      <c r="CG437" s="62"/>
      <c r="CH437" s="66"/>
      <c r="CI437" s="54"/>
      <c r="CJ437" s="54"/>
      <c r="CK437" s="67"/>
      <c r="CL437" s="78"/>
      <c r="CM437" s="70"/>
      <c r="CN437" s="229"/>
      <c r="CO437" s="229"/>
      <c r="CP437" s="229"/>
      <c r="CQ437" s="229"/>
      <c r="CR437" s="229"/>
      <c r="CS437" s="229"/>
      <c r="CT437" s="229"/>
      <c r="CU437" s="229"/>
      <c r="CV437" s="229"/>
      <c r="CW437" s="229"/>
    </row>
    <row r="438" ht="15.75" hidden="1" customHeight="1">
      <c r="CD438" s="64"/>
      <c r="CE438" s="65"/>
      <c r="CF438" s="62"/>
      <c r="CG438" s="62"/>
      <c r="CH438" s="66"/>
      <c r="CI438" s="54"/>
      <c r="CJ438" s="54"/>
      <c r="CK438" s="67"/>
      <c r="CL438" s="78"/>
      <c r="CM438" s="70"/>
      <c r="CN438" s="229"/>
      <c r="CO438" s="229"/>
      <c r="CP438" s="229"/>
      <c r="CQ438" s="229"/>
      <c r="CR438" s="229"/>
      <c r="CS438" s="229"/>
      <c r="CT438" s="229"/>
      <c r="CU438" s="229"/>
      <c r="CV438" s="229"/>
      <c r="CW438" s="229"/>
    </row>
    <row r="439" ht="15.75" hidden="1" customHeight="1">
      <c r="CD439" s="64"/>
      <c r="CE439" s="65"/>
      <c r="CF439" s="62"/>
      <c r="CG439" s="62"/>
      <c r="CH439" s="66"/>
      <c r="CI439" s="54"/>
      <c r="CJ439" s="54"/>
      <c r="CK439" s="67"/>
      <c r="CL439" s="78"/>
      <c r="CM439" s="70"/>
      <c r="CN439" s="229"/>
      <c r="CO439" s="229"/>
      <c r="CP439" s="229"/>
      <c r="CQ439" s="229"/>
      <c r="CR439" s="229"/>
      <c r="CS439" s="229"/>
      <c r="CT439" s="229"/>
      <c r="CU439" s="229"/>
      <c r="CV439" s="229"/>
      <c r="CW439" s="229"/>
    </row>
    <row r="440" ht="15.75" hidden="1" customHeight="1">
      <c r="CD440" s="64"/>
      <c r="CE440" s="65"/>
      <c r="CF440" s="62"/>
      <c r="CG440" s="62"/>
      <c r="CH440" s="66"/>
      <c r="CI440" s="54"/>
      <c r="CJ440" s="54"/>
      <c r="CK440" s="67"/>
      <c r="CL440" s="78"/>
      <c r="CM440" s="70"/>
      <c r="CN440" s="229"/>
      <c r="CO440" s="229"/>
      <c r="CP440" s="229"/>
      <c r="CQ440" s="229"/>
      <c r="CR440" s="229"/>
      <c r="CS440" s="229"/>
      <c r="CT440" s="229"/>
      <c r="CU440" s="229"/>
      <c r="CV440" s="229"/>
      <c r="CW440" s="229"/>
    </row>
    <row r="441" ht="15.75" hidden="1" customHeight="1">
      <c r="CD441" s="64"/>
      <c r="CE441" s="65"/>
      <c r="CF441" s="62"/>
      <c r="CG441" s="62"/>
      <c r="CH441" s="66"/>
      <c r="CI441" s="54"/>
      <c r="CJ441" s="54"/>
      <c r="CK441" s="67"/>
      <c r="CL441" s="78"/>
      <c r="CM441" s="70"/>
      <c r="CN441" s="229"/>
      <c r="CO441" s="229"/>
      <c r="CP441" s="229"/>
      <c r="CQ441" s="229"/>
      <c r="CR441" s="229"/>
      <c r="CS441" s="229"/>
      <c r="CT441" s="229"/>
      <c r="CU441" s="229"/>
      <c r="CV441" s="229"/>
      <c r="CW441" s="229"/>
    </row>
    <row r="442" ht="15.75" hidden="1" customHeight="1">
      <c r="CD442" s="64"/>
      <c r="CE442" s="65"/>
      <c r="CF442" s="62"/>
      <c r="CG442" s="62"/>
      <c r="CH442" s="66"/>
      <c r="CI442" s="54"/>
      <c r="CJ442" s="54"/>
      <c r="CK442" s="67"/>
      <c r="CL442" s="78"/>
      <c r="CM442" s="70"/>
      <c r="CN442" s="229"/>
      <c r="CO442" s="229"/>
      <c r="CP442" s="229"/>
      <c r="CQ442" s="229"/>
      <c r="CR442" s="229"/>
      <c r="CS442" s="229"/>
      <c r="CT442" s="229"/>
      <c r="CU442" s="229"/>
      <c r="CV442" s="229"/>
      <c r="CW442" s="229"/>
    </row>
    <row r="443" ht="15.75" hidden="1" customHeight="1">
      <c r="CD443" s="64"/>
      <c r="CE443" s="65"/>
      <c r="CF443" s="62"/>
      <c r="CG443" s="62"/>
      <c r="CH443" s="66"/>
      <c r="CI443" s="54"/>
      <c r="CJ443" s="54"/>
      <c r="CK443" s="67"/>
      <c r="CL443" s="78"/>
      <c r="CM443" s="70"/>
      <c r="CN443" s="229"/>
      <c r="CO443" s="229"/>
      <c r="CP443" s="229"/>
      <c r="CQ443" s="229"/>
      <c r="CR443" s="229"/>
      <c r="CS443" s="229"/>
      <c r="CT443" s="229"/>
      <c r="CU443" s="229"/>
      <c r="CV443" s="229"/>
      <c r="CW443" s="229"/>
    </row>
    <row r="444" ht="15.75" hidden="1" customHeight="1">
      <c r="CD444" s="64"/>
      <c r="CE444" s="65"/>
      <c r="CF444" s="62"/>
      <c r="CG444" s="62"/>
      <c r="CH444" s="66"/>
      <c r="CI444" s="54"/>
      <c r="CJ444" s="54"/>
      <c r="CK444" s="67"/>
      <c r="CL444" s="78"/>
      <c r="CM444" s="70"/>
      <c r="CN444" s="229"/>
      <c r="CO444" s="229"/>
      <c r="CP444" s="229"/>
      <c r="CQ444" s="229"/>
      <c r="CR444" s="229"/>
      <c r="CS444" s="229"/>
      <c r="CT444" s="229"/>
      <c r="CU444" s="229"/>
      <c r="CV444" s="229"/>
      <c r="CW444" s="229"/>
    </row>
    <row r="445" ht="15.75" hidden="1" customHeight="1">
      <c r="CD445" s="64"/>
      <c r="CE445" s="65"/>
      <c r="CF445" s="62"/>
      <c r="CG445" s="62"/>
      <c r="CH445" s="66"/>
      <c r="CI445" s="54"/>
      <c r="CJ445" s="54"/>
      <c r="CK445" s="67"/>
      <c r="CL445" s="78"/>
      <c r="CM445" s="70"/>
      <c r="CN445" s="229"/>
      <c r="CO445" s="229"/>
      <c r="CP445" s="229"/>
      <c r="CQ445" s="229"/>
      <c r="CR445" s="229"/>
      <c r="CS445" s="229"/>
      <c r="CT445" s="229"/>
      <c r="CU445" s="229"/>
      <c r="CV445" s="229"/>
      <c r="CW445" s="229"/>
    </row>
    <row r="446" ht="15.75" hidden="1" customHeight="1">
      <c r="CD446" s="64"/>
      <c r="CE446" s="65"/>
      <c r="CF446" s="62"/>
      <c r="CG446" s="62"/>
      <c r="CH446" s="66"/>
      <c r="CI446" s="54"/>
      <c r="CJ446" s="54"/>
      <c r="CK446" s="67"/>
      <c r="CL446" s="78"/>
      <c r="CM446" s="70"/>
      <c r="CN446" s="229"/>
      <c r="CO446" s="229"/>
      <c r="CP446" s="229"/>
      <c r="CQ446" s="229"/>
      <c r="CR446" s="229"/>
      <c r="CS446" s="229"/>
      <c r="CT446" s="229"/>
      <c r="CU446" s="229"/>
      <c r="CV446" s="229"/>
      <c r="CW446" s="229"/>
    </row>
    <row r="447" ht="15.75" hidden="1" customHeight="1">
      <c r="CD447" s="64"/>
      <c r="CE447" s="65"/>
      <c r="CF447" s="62"/>
      <c r="CG447" s="62"/>
      <c r="CH447" s="66"/>
      <c r="CI447" s="54"/>
      <c r="CJ447" s="54"/>
      <c r="CK447" s="67"/>
      <c r="CL447" s="78"/>
      <c r="CM447" s="70"/>
      <c r="CN447" s="229"/>
      <c r="CO447" s="229"/>
      <c r="CP447" s="229"/>
      <c r="CQ447" s="229"/>
      <c r="CR447" s="229"/>
      <c r="CS447" s="229"/>
      <c r="CT447" s="229"/>
      <c r="CU447" s="229"/>
      <c r="CV447" s="229"/>
      <c r="CW447" s="229"/>
    </row>
    <row r="448" ht="15.75" hidden="1" customHeight="1">
      <c r="CD448" s="64"/>
      <c r="CE448" s="65"/>
      <c r="CF448" s="62"/>
      <c r="CG448" s="62"/>
      <c r="CH448" s="66"/>
      <c r="CI448" s="54"/>
      <c r="CJ448" s="54"/>
      <c r="CK448" s="67"/>
      <c r="CL448" s="78"/>
      <c r="CM448" s="70"/>
      <c r="CN448" s="229"/>
      <c r="CO448" s="229"/>
      <c r="CP448" s="229"/>
      <c r="CQ448" s="229"/>
      <c r="CR448" s="229"/>
      <c r="CS448" s="229"/>
      <c r="CT448" s="229"/>
      <c r="CU448" s="229"/>
      <c r="CV448" s="229"/>
      <c r="CW448" s="229"/>
    </row>
    <row r="449" ht="15.75" hidden="1" customHeight="1">
      <c r="CD449" s="64"/>
      <c r="CE449" s="65"/>
      <c r="CF449" s="62"/>
      <c r="CG449" s="62"/>
      <c r="CH449" s="66"/>
      <c r="CI449" s="54"/>
      <c r="CJ449" s="54"/>
      <c r="CK449" s="67"/>
      <c r="CL449" s="78"/>
      <c r="CM449" s="70"/>
      <c r="CN449" s="229"/>
      <c r="CO449" s="229"/>
      <c r="CP449" s="229"/>
      <c r="CQ449" s="229"/>
      <c r="CR449" s="229"/>
      <c r="CS449" s="229"/>
      <c r="CT449" s="229"/>
      <c r="CU449" s="229"/>
      <c r="CV449" s="229"/>
      <c r="CW449" s="229"/>
    </row>
    <row r="450" ht="15.75" hidden="1" customHeight="1">
      <c r="CD450" s="64"/>
      <c r="CE450" s="65"/>
      <c r="CF450" s="62"/>
      <c r="CG450" s="62"/>
      <c r="CH450" s="66"/>
      <c r="CI450" s="54"/>
      <c r="CJ450" s="54"/>
      <c r="CK450" s="67"/>
      <c r="CL450" s="78"/>
      <c r="CM450" s="70"/>
      <c r="CN450" s="229"/>
      <c r="CO450" s="229"/>
      <c r="CP450" s="229"/>
      <c r="CQ450" s="229"/>
      <c r="CR450" s="229"/>
      <c r="CS450" s="229"/>
      <c r="CT450" s="229"/>
      <c r="CU450" s="229"/>
      <c r="CV450" s="229"/>
      <c r="CW450" s="229"/>
    </row>
    <row r="451" ht="15.75" hidden="1" customHeight="1">
      <c r="CD451" s="64"/>
      <c r="CE451" s="65"/>
      <c r="CF451" s="62"/>
      <c r="CG451" s="62"/>
      <c r="CH451" s="66"/>
      <c r="CI451" s="54"/>
      <c r="CJ451" s="54"/>
      <c r="CK451" s="67"/>
      <c r="CL451" s="78"/>
      <c r="CM451" s="70"/>
      <c r="CN451" s="229"/>
      <c r="CO451" s="229"/>
      <c r="CP451" s="229"/>
      <c r="CQ451" s="229"/>
      <c r="CR451" s="229"/>
      <c r="CS451" s="229"/>
      <c r="CT451" s="229"/>
      <c r="CU451" s="229"/>
      <c r="CV451" s="229"/>
      <c r="CW451" s="229"/>
    </row>
    <row r="452" ht="15.75" hidden="1" customHeight="1">
      <c r="CD452" s="64"/>
      <c r="CE452" s="65"/>
      <c r="CF452" s="62"/>
      <c r="CG452" s="62"/>
      <c r="CH452" s="66"/>
      <c r="CI452" s="54"/>
      <c r="CJ452" s="54"/>
      <c r="CK452" s="67"/>
      <c r="CL452" s="78"/>
      <c r="CM452" s="70"/>
      <c r="CN452" s="229"/>
      <c r="CO452" s="229"/>
      <c r="CP452" s="229"/>
      <c r="CQ452" s="229"/>
      <c r="CR452" s="229"/>
      <c r="CS452" s="229"/>
      <c r="CT452" s="229"/>
      <c r="CU452" s="229"/>
      <c r="CV452" s="229"/>
      <c r="CW452" s="229"/>
    </row>
    <row r="453" ht="15.75" hidden="1" customHeight="1">
      <c r="CD453" s="64"/>
      <c r="CE453" s="65"/>
      <c r="CF453" s="62"/>
      <c r="CG453" s="62"/>
      <c r="CH453" s="66"/>
      <c r="CI453" s="54"/>
      <c r="CJ453" s="54"/>
      <c r="CK453" s="67"/>
      <c r="CL453" s="78"/>
      <c r="CM453" s="70"/>
      <c r="CN453" s="229"/>
      <c r="CO453" s="229"/>
      <c r="CP453" s="229"/>
      <c r="CQ453" s="229"/>
      <c r="CR453" s="229"/>
      <c r="CS453" s="229"/>
      <c r="CT453" s="229"/>
      <c r="CU453" s="229"/>
      <c r="CV453" s="229"/>
      <c r="CW453" s="229"/>
    </row>
    <row r="454" ht="15.75" hidden="1" customHeight="1">
      <c r="CD454" s="64"/>
      <c r="CE454" s="65"/>
      <c r="CF454" s="62"/>
      <c r="CG454" s="62"/>
      <c r="CH454" s="66"/>
      <c r="CI454" s="54"/>
      <c r="CJ454" s="54"/>
      <c r="CK454" s="67"/>
      <c r="CL454" s="78"/>
      <c r="CM454" s="70"/>
      <c r="CN454" s="229"/>
      <c r="CO454" s="229"/>
      <c r="CP454" s="229"/>
      <c r="CQ454" s="229"/>
      <c r="CR454" s="229"/>
      <c r="CS454" s="229"/>
      <c r="CT454" s="229"/>
      <c r="CU454" s="229"/>
      <c r="CV454" s="229"/>
      <c r="CW454" s="229"/>
    </row>
    <row r="455" ht="15.75" hidden="1" customHeight="1">
      <c r="CD455" s="64"/>
      <c r="CE455" s="65"/>
      <c r="CF455" s="62"/>
      <c r="CG455" s="62"/>
      <c r="CH455" s="66"/>
      <c r="CI455" s="54"/>
      <c r="CJ455" s="54"/>
      <c r="CK455" s="67"/>
      <c r="CL455" s="78"/>
      <c r="CM455" s="70"/>
      <c r="CN455" s="229"/>
      <c r="CO455" s="229"/>
      <c r="CP455" s="229"/>
      <c r="CQ455" s="229"/>
      <c r="CR455" s="229"/>
      <c r="CS455" s="229"/>
      <c r="CT455" s="229"/>
      <c r="CU455" s="229"/>
      <c r="CV455" s="229"/>
      <c r="CW455" s="229"/>
    </row>
    <row r="456" ht="15.75" hidden="1" customHeight="1">
      <c r="CD456" s="64"/>
      <c r="CE456" s="65"/>
      <c r="CF456" s="62"/>
      <c r="CG456" s="62"/>
      <c r="CH456" s="66"/>
      <c r="CI456" s="54"/>
      <c r="CJ456" s="54"/>
      <c r="CK456" s="67"/>
      <c r="CL456" s="78"/>
      <c r="CM456" s="70"/>
      <c r="CN456" s="229"/>
      <c r="CO456" s="229"/>
      <c r="CP456" s="229"/>
      <c r="CQ456" s="229"/>
      <c r="CR456" s="229"/>
      <c r="CS456" s="229"/>
      <c r="CT456" s="229"/>
      <c r="CU456" s="229"/>
      <c r="CV456" s="229"/>
      <c r="CW456" s="229"/>
    </row>
    <row r="457" ht="15.75" hidden="1" customHeight="1">
      <c r="CD457" s="64"/>
      <c r="CE457" s="65"/>
      <c r="CF457" s="62"/>
      <c r="CG457" s="62"/>
      <c r="CH457" s="66"/>
      <c r="CI457" s="54"/>
      <c r="CJ457" s="54"/>
      <c r="CK457" s="67"/>
      <c r="CL457" s="78"/>
      <c r="CM457" s="70"/>
      <c r="CN457" s="229"/>
      <c r="CO457" s="229"/>
      <c r="CP457" s="229"/>
      <c r="CQ457" s="229"/>
      <c r="CR457" s="229"/>
      <c r="CS457" s="229"/>
      <c r="CT457" s="229"/>
      <c r="CU457" s="229"/>
      <c r="CV457" s="229"/>
      <c r="CW457" s="229"/>
    </row>
    <row r="458" ht="15.75" hidden="1" customHeight="1">
      <c r="CD458" s="64"/>
      <c r="CE458" s="65"/>
      <c r="CF458" s="62"/>
      <c r="CG458" s="62"/>
      <c r="CH458" s="66"/>
      <c r="CI458" s="54"/>
      <c r="CJ458" s="54"/>
      <c r="CK458" s="67"/>
      <c r="CL458" s="78"/>
      <c r="CM458" s="70"/>
      <c r="CN458" s="229"/>
      <c r="CO458" s="229"/>
      <c r="CP458" s="229"/>
      <c r="CQ458" s="229"/>
      <c r="CR458" s="229"/>
      <c r="CS458" s="229"/>
      <c r="CT458" s="229"/>
      <c r="CU458" s="229"/>
      <c r="CV458" s="229"/>
      <c r="CW458" s="229"/>
    </row>
    <row r="459" ht="15.75" hidden="1" customHeight="1">
      <c r="CD459" s="64"/>
      <c r="CE459" s="65"/>
      <c r="CF459" s="62"/>
      <c r="CG459" s="62"/>
      <c r="CH459" s="66"/>
      <c r="CI459" s="54"/>
      <c r="CJ459" s="54"/>
      <c r="CK459" s="67"/>
      <c r="CL459" s="78"/>
      <c r="CM459" s="70"/>
      <c r="CN459" s="229"/>
      <c r="CO459" s="229"/>
      <c r="CP459" s="229"/>
      <c r="CQ459" s="229"/>
      <c r="CR459" s="229"/>
      <c r="CS459" s="229"/>
      <c r="CT459" s="229"/>
      <c r="CU459" s="229"/>
      <c r="CV459" s="229"/>
      <c r="CW459" s="229"/>
    </row>
    <row r="460" ht="15.75" hidden="1" customHeight="1">
      <c r="CD460" s="86"/>
      <c r="CE460" s="87"/>
      <c r="CF460" s="62"/>
      <c r="CG460" s="62"/>
      <c r="CH460" s="88"/>
      <c r="CI460" s="89"/>
      <c r="CJ460" s="89"/>
      <c r="CK460" s="90"/>
      <c r="CL460" s="91"/>
      <c r="CM460" s="92"/>
      <c r="CN460" s="229"/>
      <c r="CO460" s="229"/>
      <c r="CP460" s="229"/>
      <c r="CQ460" s="229"/>
      <c r="CR460" s="229"/>
      <c r="CS460" s="229"/>
      <c r="CT460" s="229"/>
      <c r="CU460" s="229"/>
      <c r="CV460" s="229"/>
      <c r="CW460" s="229"/>
    </row>
    <row r="461" ht="15.75" hidden="1" customHeight="1">
      <c r="CD461" s="64"/>
      <c r="CE461" s="65"/>
      <c r="CF461" s="62"/>
      <c r="CG461" s="62"/>
      <c r="CH461" s="66"/>
      <c r="CI461" s="54"/>
      <c r="CJ461" s="54"/>
      <c r="CK461" s="67"/>
      <c r="CL461" s="78"/>
      <c r="CM461" s="70"/>
      <c r="CN461" s="229"/>
      <c r="CO461" s="229"/>
      <c r="CP461" s="229"/>
      <c r="CQ461" s="229"/>
      <c r="CR461" s="229"/>
      <c r="CS461" s="229"/>
      <c r="CT461" s="229"/>
      <c r="CU461" s="229"/>
      <c r="CV461" s="229"/>
      <c r="CW461" s="229"/>
    </row>
    <row r="462" ht="15.75" hidden="1" customHeight="1">
      <c r="CD462" s="64"/>
      <c r="CE462" s="65"/>
      <c r="CF462" s="62"/>
      <c r="CG462" s="62"/>
      <c r="CH462" s="66"/>
      <c r="CI462" s="54"/>
      <c r="CJ462" s="54"/>
      <c r="CK462" s="67"/>
      <c r="CL462" s="78"/>
      <c r="CM462" s="70"/>
      <c r="CN462" s="229"/>
      <c r="CO462" s="229"/>
      <c r="CP462" s="229"/>
      <c r="CQ462" s="229"/>
      <c r="CR462" s="229"/>
      <c r="CS462" s="229"/>
      <c r="CT462" s="229"/>
      <c r="CU462" s="229"/>
      <c r="CV462" s="229"/>
      <c r="CW462" s="229"/>
    </row>
    <row r="463" ht="15.75" hidden="1" customHeight="1">
      <c r="CD463" s="64"/>
      <c r="CE463" s="65"/>
      <c r="CF463" s="62"/>
      <c r="CG463" s="62"/>
      <c r="CH463" s="66"/>
      <c r="CI463" s="54"/>
      <c r="CJ463" s="54"/>
      <c r="CK463" s="67"/>
      <c r="CL463" s="78"/>
      <c r="CM463" s="70"/>
      <c r="CN463" s="229"/>
      <c r="CO463" s="229"/>
      <c r="CP463" s="229"/>
      <c r="CQ463" s="229"/>
      <c r="CR463" s="229"/>
      <c r="CS463" s="229"/>
      <c r="CT463" s="229"/>
      <c r="CU463" s="229"/>
      <c r="CV463" s="229"/>
      <c r="CW463" s="229"/>
    </row>
    <row r="464" ht="15.75" hidden="1" customHeight="1">
      <c r="CD464" s="64"/>
      <c r="CE464" s="65"/>
      <c r="CF464" s="62"/>
      <c r="CG464" s="62"/>
      <c r="CH464" s="66"/>
      <c r="CI464" s="54"/>
      <c r="CJ464" s="54"/>
      <c r="CK464" s="67"/>
      <c r="CL464" s="78"/>
      <c r="CM464" s="70"/>
      <c r="CN464" s="229"/>
      <c r="CO464" s="229"/>
      <c r="CP464" s="229"/>
      <c r="CQ464" s="229"/>
      <c r="CR464" s="229"/>
      <c r="CS464" s="229"/>
      <c r="CT464" s="229"/>
      <c r="CU464" s="229"/>
      <c r="CV464" s="229"/>
      <c r="CW464" s="229"/>
    </row>
    <row r="465" ht="15.75" hidden="1" customHeight="1">
      <c r="CD465" s="64"/>
      <c r="CE465" s="65"/>
      <c r="CF465" s="62"/>
      <c r="CG465" s="62"/>
      <c r="CH465" s="66"/>
      <c r="CI465" s="54"/>
      <c r="CJ465" s="54"/>
      <c r="CK465" s="67"/>
      <c r="CL465" s="78"/>
      <c r="CM465" s="70"/>
      <c r="CN465" s="229"/>
      <c r="CO465" s="229"/>
      <c r="CP465" s="229"/>
      <c r="CQ465" s="229"/>
      <c r="CR465" s="229"/>
      <c r="CS465" s="229"/>
      <c r="CT465" s="229"/>
      <c r="CU465" s="229"/>
      <c r="CV465" s="229"/>
      <c r="CW465" s="229"/>
    </row>
    <row r="466" ht="15.75" hidden="1" customHeight="1">
      <c r="CD466" s="64"/>
      <c r="CE466" s="65"/>
      <c r="CF466" s="62"/>
      <c r="CG466" s="62"/>
      <c r="CH466" s="66"/>
      <c r="CI466" s="54"/>
      <c r="CJ466" s="54"/>
      <c r="CK466" s="67"/>
      <c r="CL466" s="78"/>
      <c r="CM466" s="70"/>
      <c r="CN466" s="229"/>
      <c r="CO466" s="229"/>
      <c r="CP466" s="229"/>
      <c r="CQ466" s="229"/>
      <c r="CR466" s="229"/>
      <c r="CS466" s="229"/>
      <c r="CT466" s="229"/>
      <c r="CU466" s="229"/>
      <c r="CV466" s="229"/>
      <c r="CW466" s="229"/>
    </row>
    <row r="467" ht="15.75" hidden="1" customHeight="1">
      <c r="CD467" s="64"/>
      <c r="CE467" s="65"/>
      <c r="CF467" s="62"/>
      <c r="CG467" s="62"/>
      <c r="CH467" s="66"/>
      <c r="CI467" s="54"/>
      <c r="CJ467" s="54"/>
      <c r="CK467" s="67"/>
      <c r="CL467" s="78"/>
      <c r="CM467" s="70"/>
      <c r="CN467" s="229"/>
      <c r="CO467" s="229"/>
      <c r="CP467" s="229"/>
      <c r="CQ467" s="229"/>
      <c r="CR467" s="229"/>
      <c r="CS467" s="229"/>
      <c r="CT467" s="229"/>
      <c r="CU467" s="229"/>
      <c r="CV467" s="229"/>
      <c r="CW467" s="229"/>
    </row>
    <row r="468" ht="15.75" hidden="1" customHeight="1">
      <c r="CD468" s="64"/>
      <c r="CE468" s="65"/>
      <c r="CF468" s="62"/>
      <c r="CG468" s="62"/>
      <c r="CH468" s="66"/>
      <c r="CI468" s="54"/>
      <c r="CJ468" s="54"/>
      <c r="CK468" s="67"/>
      <c r="CL468" s="78"/>
      <c r="CM468" s="70"/>
      <c r="CN468" s="229"/>
      <c r="CO468" s="229"/>
      <c r="CP468" s="229"/>
      <c r="CQ468" s="229"/>
      <c r="CR468" s="229"/>
      <c r="CS468" s="229"/>
      <c r="CT468" s="229"/>
      <c r="CU468" s="229"/>
      <c r="CV468" s="229"/>
      <c r="CW468" s="229"/>
    </row>
    <row r="469" ht="15.75" hidden="1" customHeight="1">
      <c r="CD469" s="64"/>
      <c r="CE469" s="65"/>
      <c r="CF469" s="62"/>
      <c r="CG469" s="62"/>
      <c r="CH469" s="66"/>
      <c r="CI469" s="54"/>
      <c r="CJ469" s="54"/>
      <c r="CK469" s="67"/>
      <c r="CL469" s="78"/>
      <c r="CM469" s="70"/>
      <c r="CN469" s="229"/>
      <c r="CO469" s="229"/>
      <c r="CP469" s="229"/>
      <c r="CQ469" s="229"/>
      <c r="CR469" s="229"/>
      <c r="CS469" s="229"/>
      <c r="CT469" s="229"/>
      <c r="CU469" s="229"/>
      <c r="CV469" s="229"/>
      <c r="CW469" s="229"/>
    </row>
    <row r="470" ht="15.75" hidden="1" customHeight="1">
      <c r="CD470" s="64"/>
      <c r="CE470" s="65"/>
      <c r="CF470" s="62"/>
      <c r="CG470" s="62"/>
      <c r="CH470" s="66"/>
      <c r="CI470" s="54"/>
      <c r="CJ470" s="54"/>
      <c r="CK470" s="67"/>
      <c r="CL470" s="78"/>
      <c r="CM470" s="70"/>
      <c r="CN470" s="229"/>
      <c r="CO470" s="229"/>
      <c r="CP470" s="229"/>
      <c r="CQ470" s="229"/>
      <c r="CR470" s="229"/>
      <c r="CS470" s="229"/>
      <c r="CT470" s="229"/>
      <c r="CU470" s="229"/>
      <c r="CV470" s="229"/>
      <c r="CW470" s="229"/>
    </row>
    <row r="471" ht="15.75" hidden="1" customHeight="1">
      <c r="CD471" s="64"/>
      <c r="CE471" s="65"/>
      <c r="CF471" s="62"/>
      <c r="CG471" s="62"/>
      <c r="CH471" s="66"/>
      <c r="CI471" s="54"/>
      <c r="CJ471" s="54"/>
      <c r="CK471" s="67"/>
      <c r="CL471" s="78"/>
      <c r="CM471" s="70"/>
      <c r="CN471" s="229"/>
      <c r="CO471" s="229"/>
      <c r="CP471" s="229"/>
      <c r="CQ471" s="229"/>
      <c r="CR471" s="229"/>
      <c r="CS471" s="229"/>
      <c r="CT471" s="229"/>
      <c r="CU471" s="229"/>
      <c r="CV471" s="229"/>
      <c r="CW471" s="229"/>
    </row>
    <row r="472" ht="15.75" hidden="1" customHeight="1">
      <c r="CD472" s="64"/>
      <c r="CE472" s="65"/>
      <c r="CF472" s="62"/>
      <c r="CG472" s="62"/>
      <c r="CH472" s="66"/>
      <c r="CI472" s="54"/>
      <c r="CJ472" s="54"/>
      <c r="CK472" s="67"/>
      <c r="CL472" s="78"/>
      <c r="CM472" s="70"/>
      <c r="CN472" s="229"/>
      <c r="CO472" s="229"/>
      <c r="CP472" s="229"/>
      <c r="CQ472" s="229"/>
      <c r="CR472" s="229"/>
      <c r="CS472" s="229"/>
      <c r="CT472" s="229"/>
      <c r="CU472" s="229"/>
      <c r="CV472" s="229"/>
      <c r="CW472" s="229"/>
    </row>
    <row r="473" ht="15.75" hidden="1" customHeight="1">
      <c r="CD473" s="64"/>
      <c r="CE473" s="65"/>
      <c r="CF473" s="62"/>
      <c r="CG473" s="62"/>
      <c r="CH473" s="66"/>
      <c r="CI473" s="54"/>
      <c r="CJ473" s="54"/>
      <c r="CK473" s="67"/>
      <c r="CL473" s="78"/>
      <c r="CM473" s="70"/>
      <c r="CN473" s="229"/>
      <c r="CO473" s="229"/>
      <c r="CP473" s="229"/>
      <c r="CQ473" s="229"/>
      <c r="CR473" s="229"/>
      <c r="CS473" s="229"/>
      <c r="CT473" s="229"/>
      <c r="CU473" s="229"/>
      <c r="CV473" s="229"/>
      <c r="CW473" s="229"/>
    </row>
    <row r="474" ht="15.75" hidden="1" customHeight="1">
      <c r="CD474" s="64"/>
      <c r="CE474" s="65"/>
      <c r="CF474" s="62"/>
      <c r="CG474" s="62"/>
      <c r="CH474" s="66"/>
      <c r="CI474" s="54"/>
      <c r="CJ474" s="54"/>
      <c r="CK474" s="67"/>
      <c r="CL474" s="78"/>
      <c r="CM474" s="70"/>
      <c r="CN474" s="229"/>
      <c r="CO474" s="229"/>
      <c r="CP474" s="229"/>
      <c r="CQ474" s="229"/>
      <c r="CR474" s="229"/>
      <c r="CS474" s="229"/>
      <c r="CT474" s="229"/>
      <c r="CU474" s="229"/>
      <c r="CV474" s="229"/>
      <c r="CW474" s="229"/>
    </row>
    <row r="475" ht="15.75" hidden="1" customHeight="1">
      <c r="CD475" s="64"/>
      <c r="CE475" s="65"/>
      <c r="CF475" s="62"/>
      <c r="CG475" s="62"/>
      <c r="CH475" s="66"/>
      <c r="CI475" s="54"/>
      <c r="CJ475" s="54"/>
      <c r="CK475" s="67"/>
      <c r="CL475" s="78"/>
      <c r="CM475" s="70"/>
      <c r="CN475" s="229"/>
      <c r="CO475" s="229"/>
      <c r="CP475" s="229"/>
      <c r="CQ475" s="229"/>
      <c r="CR475" s="229"/>
      <c r="CS475" s="229"/>
      <c r="CT475" s="229"/>
      <c r="CU475" s="229"/>
      <c r="CV475" s="229"/>
      <c r="CW475" s="229"/>
    </row>
    <row r="476" ht="15.75" hidden="1" customHeight="1">
      <c r="CD476" s="64"/>
      <c r="CE476" s="65"/>
      <c r="CF476" s="62"/>
      <c r="CG476" s="62"/>
      <c r="CH476" s="66"/>
      <c r="CI476" s="54"/>
      <c r="CJ476" s="54"/>
      <c r="CK476" s="67"/>
      <c r="CL476" s="78"/>
      <c r="CM476" s="70"/>
      <c r="CN476" s="229"/>
      <c r="CO476" s="229"/>
      <c r="CP476" s="229"/>
      <c r="CQ476" s="229"/>
      <c r="CR476" s="229"/>
      <c r="CS476" s="229"/>
      <c r="CT476" s="229"/>
      <c r="CU476" s="229"/>
      <c r="CV476" s="229"/>
      <c r="CW476" s="229"/>
    </row>
    <row r="477" ht="15.75" hidden="1" customHeight="1">
      <c r="CD477" s="64"/>
      <c r="CE477" s="65"/>
      <c r="CF477" s="62"/>
      <c r="CG477" s="62"/>
      <c r="CH477" s="66"/>
      <c r="CI477" s="54"/>
      <c r="CJ477" s="54"/>
      <c r="CK477" s="67"/>
      <c r="CL477" s="78"/>
      <c r="CM477" s="70"/>
      <c r="CN477" s="229"/>
      <c r="CO477" s="229"/>
      <c r="CP477" s="229"/>
      <c r="CQ477" s="229"/>
      <c r="CR477" s="229"/>
      <c r="CS477" s="229"/>
      <c r="CT477" s="229"/>
      <c r="CU477" s="229"/>
      <c r="CV477" s="229"/>
      <c r="CW477" s="229"/>
    </row>
    <row r="478" ht="15.75" hidden="1" customHeight="1">
      <c r="CD478" s="64"/>
      <c r="CE478" s="65"/>
      <c r="CF478" s="62"/>
      <c r="CG478" s="62"/>
      <c r="CH478" s="66"/>
      <c r="CI478" s="54"/>
      <c r="CJ478" s="54"/>
      <c r="CK478" s="67"/>
      <c r="CL478" s="78"/>
      <c r="CM478" s="70"/>
      <c r="CN478" s="229"/>
      <c r="CO478" s="229"/>
      <c r="CP478" s="229"/>
      <c r="CQ478" s="229"/>
      <c r="CR478" s="229"/>
      <c r="CS478" s="229"/>
      <c r="CT478" s="229"/>
      <c r="CU478" s="229"/>
      <c r="CV478" s="229"/>
      <c r="CW478" s="229"/>
    </row>
    <row r="479" ht="15.75" hidden="1" customHeight="1">
      <c r="CD479" s="64"/>
      <c r="CE479" s="65"/>
      <c r="CF479" s="62"/>
      <c r="CG479" s="62"/>
      <c r="CH479" s="66"/>
      <c r="CI479" s="54"/>
      <c r="CJ479" s="54"/>
      <c r="CK479" s="67"/>
      <c r="CL479" s="78"/>
      <c r="CM479" s="70"/>
      <c r="CN479" s="229"/>
      <c r="CO479" s="229"/>
      <c r="CP479" s="229"/>
      <c r="CQ479" s="229"/>
      <c r="CR479" s="229"/>
      <c r="CS479" s="229"/>
      <c r="CT479" s="229"/>
      <c r="CU479" s="229"/>
      <c r="CV479" s="229"/>
      <c r="CW479" s="229"/>
    </row>
    <row r="480" ht="15.75" hidden="1" customHeight="1">
      <c r="CD480" s="64"/>
      <c r="CE480" s="65"/>
      <c r="CF480" s="62"/>
      <c r="CG480" s="62"/>
      <c r="CH480" s="66"/>
      <c r="CI480" s="54"/>
      <c r="CJ480" s="54"/>
      <c r="CK480" s="67"/>
      <c r="CL480" s="78"/>
      <c r="CM480" s="70"/>
      <c r="CN480" s="229"/>
      <c r="CO480" s="229"/>
      <c r="CP480" s="229"/>
      <c r="CQ480" s="229"/>
      <c r="CR480" s="229"/>
      <c r="CS480" s="229"/>
      <c r="CT480" s="229"/>
      <c r="CU480" s="229"/>
      <c r="CV480" s="229"/>
      <c r="CW480" s="229"/>
    </row>
    <row r="481" ht="15.75" hidden="1" customHeight="1">
      <c r="CD481" s="64"/>
      <c r="CE481" s="65"/>
      <c r="CF481" s="62"/>
      <c r="CG481" s="62"/>
      <c r="CH481" s="66"/>
      <c r="CI481" s="54"/>
      <c r="CJ481" s="54"/>
      <c r="CK481" s="67"/>
      <c r="CL481" s="78"/>
      <c r="CM481" s="70"/>
      <c r="CN481" s="229"/>
      <c r="CO481" s="229"/>
      <c r="CP481" s="229"/>
      <c r="CQ481" s="229"/>
      <c r="CR481" s="229"/>
      <c r="CS481" s="229"/>
      <c r="CT481" s="229"/>
      <c r="CU481" s="229"/>
      <c r="CV481" s="229"/>
      <c r="CW481" s="229"/>
    </row>
    <row r="482" ht="15.75" hidden="1" customHeight="1">
      <c r="CD482" s="64"/>
      <c r="CE482" s="65"/>
      <c r="CF482" s="62"/>
      <c r="CG482" s="62"/>
      <c r="CH482" s="66"/>
      <c r="CI482" s="54"/>
      <c r="CJ482" s="54"/>
      <c r="CK482" s="67"/>
      <c r="CL482" s="78"/>
      <c r="CM482" s="70"/>
      <c r="CN482" s="229"/>
      <c r="CO482" s="229"/>
      <c r="CP482" s="229"/>
      <c r="CQ482" s="229"/>
      <c r="CR482" s="229"/>
      <c r="CS482" s="229"/>
      <c r="CT482" s="229"/>
      <c r="CU482" s="229"/>
      <c r="CV482" s="229"/>
      <c r="CW482" s="229"/>
    </row>
    <row r="483" ht="15.75" hidden="1" customHeight="1">
      <c r="CD483" s="64"/>
      <c r="CE483" s="65"/>
      <c r="CF483" s="62"/>
      <c r="CG483" s="62"/>
      <c r="CH483" s="66"/>
      <c r="CI483" s="54"/>
      <c r="CJ483" s="54"/>
      <c r="CK483" s="67"/>
      <c r="CL483" s="78"/>
      <c r="CM483" s="70"/>
      <c r="CN483" s="229"/>
      <c r="CO483" s="229"/>
      <c r="CP483" s="229"/>
      <c r="CQ483" s="229"/>
      <c r="CR483" s="229"/>
      <c r="CS483" s="229"/>
      <c r="CT483" s="229"/>
      <c r="CU483" s="229"/>
      <c r="CV483" s="229"/>
      <c r="CW483" s="229"/>
    </row>
    <row r="484" ht="15.75" hidden="1" customHeight="1">
      <c r="CD484" s="64"/>
      <c r="CE484" s="65"/>
      <c r="CF484" s="62"/>
      <c r="CG484" s="62"/>
      <c r="CH484" s="66"/>
      <c r="CI484" s="54"/>
      <c r="CJ484" s="54"/>
      <c r="CK484" s="67"/>
      <c r="CL484" s="78"/>
      <c r="CM484" s="70"/>
      <c r="CN484" s="229"/>
      <c r="CO484" s="229"/>
      <c r="CP484" s="229"/>
      <c r="CQ484" s="229"/>
      <c r="CR484" s="229"/>
      <c r="CS484" s="229"/>
      <c r="CT484" s="229"/>
      <c r="CU484" s="229"/>
      <c r="CV484" s="229"/>
      <c r="CW484" s="229"/>
    </row>
    <row r="485" ht="15.75" hidden="1" customHeight="1">
      <c r="CD485" s="64"/>
      <c r="CE485" s="65"/>
      <c r="CF485" s="55"/>
      <c r="CG485" s="55"/>
      <c r="CH485" s="66"/>
      <c r="CI485" s="54"/>
      <c r="CJ485" s="54"/>
      <c r="CK485" s="67"/>
      <c r="CL485" s="78"/>
      <c r="CM485" s="70"/>
      <c r="CN485" s="229"/>
      <c r="CO485" s="229"/>
      <c r="CP485" s="229"/>
      <c r="CQ485" s="229"/>
      <c r="CR485" s="229"/>
      <c r="CS485" s="229"/>
      <c r="CT485" s="229"/>
      <c r="CU485" s="229"/>
      <c r="CV485" s="229"/>
      <c r="CW485" s="229"/>
    </row>
    <row r="486" ht="15.75" hidden="1" customHeight="1">
      <c r="CD486" s="45"/>
      <c r="CE486" s="46"/>
      <c r="CF486" s="46"/>
      <c r="CG486" s="46"/>
      <c r="CH486" s="46"/>
      <c r="CI486" s="46"/>
      <c r="CJ486" s="46"/>
      <c r="CK486" s="46"/>
      <c r="CL486" s="46"/>
      <c r="CM486" s="106"/>
      <c r="CN486" s="229"/>
      <c r="CO486" s="229"/>
      <c r="CP486" s="229"/>
      <c r="CQ486" s="229"/>
      <c r="CR486" s="229"/>
      <c r="CS486" s="229"/>
      <c r="CT486" s="229"/>
      <c r="CU486" s="229"/>
      <c r="CV486" s="229"/>
      <c r="CW486" s="229"/>
    </row>
    <row r="487" ht="15.75" hidden="1" customHeight="1">
      <c r="CD487" s="64"/>
      <c r="CE487" s="54"/>
      <c r="CF487" s="55"/>
      <c r="CG487" s="55"/>
      <c r="CH487" s="54"/>
      <c r="CI487" s="54"/>
      <c r="CJ487" s="54"/>
      <c r="CK487" s="16"/>
      <c r="CL487" s="55"/>
      <c r="CM487" s="70"/>
      <c r="CN487" s="229"/>
      <c r="CO487" s="229"/>
      <c r="CP487" s="229"/>
      <c r="CQ487" s="229"/>
      <c r="CR487" s="229"/>
      <c r="CS487" s="229"/>
      <c r="CT487" s="229"/>
      <c r="CU487" s="229"/>
      <c r="CV487" s="229"/>
      <c r="CW487" s="229"/>
    </row>
    <row r="488" ht="15.75" hidden="1" customHeight="1">
      <c r="CD488" s="64"/>
      <c r="CE488" s="109"/>
      <c r="CF488" s="55"/>
      <c r="CG488" s="55"/>
      <c r="CH488" s="54"/>
      <c r="CI488" s="54"/>
      <c r="CJ488" s="54"/>
      <c r="CK488" s="54"/>
      <c r="CL488" s="55"/>
      <c r="CM488" s="70"/>
      <c r="CN488" s="229"/>
      <c r="CO488" s="229"/>
      <c r="CP488" s="229"/>
      <c r="CQ488" s="229"/>
      <c r="CR488" s="229"/>
      <c r="CS488" s="229"/>
      <c r="CT488" s="229"/>
      <c r="CU488" s="229"/>
      <c r="CV488" s="229"/>
      <c r="CW488" s="229"/>
    </row>
    <row r="489" ht="15.75" hidden="1" customHeight="1">
      <c r="CD489" s="115"/>
      <c r="CE489" s="119"/>
      <c r="CF489" s="120"/>
      <c r="CG489" s="116"/>
      <c r="CH489" s="117"/>
      <c r="CI489" s="116"/>
      <c r="CJ489" s="118"/>
      <c r="CK489" s="117"/>
      <c r="CL489" s="55"/>
      <c r="CM489" s="70"/>
      <c r="CN489" s="229"/>
      <c r="CO489" s="229"/>
      <c r="CP489" s="229"/>
      <c r="CQ489" s="229"/>
      <c r="CR489" s="229"/>
      <c r="CS489" s="229"/>
      <c r="CT489" s="229"/>
      <c r="CU489" s="229"/>
      <c r="CV489" s="229"/>
      <c r="CW489" s="229"/>
    </row>
    <row r="490" ht="15.75" hidden="1" customHeight="1">
      <c r="CD490" s="127"/>
      <c r="CE490" s="128"/>
      <c r="CF490" s="126"/>
      <c r="CG490" s="128"/>
      <c r="CH490" s="126"/>
      <c r="CI490" s="129"/>
      <c r="CJ490" s="130"/>
      <c r="CK490" s="131"/>
      <c r="CL490" s="55"/>
      <c r="CM490" s="40"/>
      <c r="CN490" s="229"/>
      <c r="CO490" s="229"/>
      <c r="CP490" s="229"/>
      <c r="CQ490" s="229"/>
      <c r="CR490" s="229"/>
      <c r="CS490" s="229"/>
      <c r="CT490" s="229"/>
      <c r="CU490" s="229"/>
      <c r="CV490" s="229"/>
      <c r="CW490" s="229"/>
    </row>
    <row r="491" ht="15.75" hidden="1" customHeight="1">
      <c r="CD491" s="127"/>
      <c r="CE491" s="128"/>
      <c r="CF491" s="126"/>
      <c r="CG491" s="128"/>
      <c r="CH491" s="126"/>
      <c r="CI491" s="129"/>
      <c r="CJ491" s="130"/>
      <c r="CK491" s="131"/>
      <c r="CL491" s="55"/>
      <c r="CM491" s="40"/>
      <c r="CN491" s="229"/>
      <c r="CO491" s="229"/>
      <c r="CP491" s="229"/>
      <c r="CQ491" s="229"/>
      <c r="CR491" s="229"/>
      <c r="CS491" s="229"/>
      <c r="CT491" s="229"/>
      <c r="CU491" s="229"/>
      <c r="CV491" s="229"/>
      <c r="CW491" s="229"/>
    </row>
    <row r="492" ht="15.75" hidden="1" customHeight="1">
      <c r="CD492" s="127"/>
      <c r="CE492" s="128"/>
      <c r="CF492" s="126"/>
      <c r="CG492" s="128"/>
      <c r="CH492" s="126"/>
      <c r="CI492" s="129"/>
      <c r="CJ492" s="130"/>
      <c r="CK492" s="131"/>
      <c r="CL492" s="55"/>
      <c r="CM492" s="40"/>
      <c r="CN492" s="229"/>
      <c r="CO492" s="229"/>
      <c r="CP492" s="229"/>
      <c r="CQ492" s="229"/>
      <c r="CR492" s="229"/>
      <c r="CS492" s="229"/>
      <c r="CT492" s="229"/>
      <c r="CU492" s="229"/>
      <c r="CV492" s="229"/>
      <c r="CW492" s="229"/>
    </row>
    <row r="493" ht="15.75" hidden="1" customHeight="1">
      <c r="CD493" s="127"/>
      <c r="CE493" s="128"/>
      <c r="CF493" s="126"/>
      <c r="CG493" s="128"/>
      <c r="CH493" s="126"/>
      <c r="CI493" s="129"/>
      <c r="CJ493" s="130"/>
      <c r="CK493" s="131"/>
      <c r="CL493" s="55"/>
      <c r="CM493" s="40"/>
      <c r="CN493" s="229"/>
      <c r="CO493" s="229"/>
      <c r="CP493" s="229"/>
      <c r="CQ493" s="229"/>
      <c r="CR493" s="229"/>
      <c r="CS493" s="229"/>
      <c r="CT493" s="229"/>
      <c r="CU493" s="229"/>
      <c r="CV493" s="229"/>
      <c r="CW493" s="229"/>
    </row>
    <row r="494" ht="15.75" hidden="1" customHeight="1">
      <c r="CD494" s="143"/>
      <c r="CE494" s="128"/>
      <c r="CF494" s="126"/>
      <c r="CG494" s="128"/>
      <c r="CH494" s="126"/>
      <c r="CI494" s="129"/>
      <c r="CJ494" s="130"/>
      <c r="CK494" s="131"/>
      <c r="CL494" s="55"/>
      <c r="CM494" s="40"/>
      <c r="CN494" s="229"/>
      <c r="CO494" s="229"/>
      <c r="CP494" s="229"/>
      <c r="CQ494" s="229"/>
      <c r="CR494" s="229"/>
      <c r="CS494" s="229"/>
      <c r="CT494" s="229"/>
      <c r="CU494" s="229"/>
      <c r="CV494" s="229"/>
      <c r="CW494" s="229"/>
    </row>
    <row r="495" ht="15.75" hidden="1" customHeight="1">
      <c r="CD495" s="143"/>
      <c r="CE495" s="128"/>
      <c r="CF495" s="126"/>
      <c r="CG495" s="128"/>
      <c r="CH495" s="126"/>
      <c r="CI495" s="129"/>
      <c r="CJ495" s="130"/>
      <c r="CK495" s="131"/>
      <c r="CL495" s="55"/>
      <c r="CM495" s="40"/>
      <c r="CN495" s="229"/>
      <c r="CO495" s="229"/>
      <c r="CP495" s="229"/>
      <c r="CQ495" s="229"/>
      <c r="CR495" s="229"/>
      <c r="CS495" s="229"/>
      <c r="CT495" s="229"/>
      <c r="CU495" s="229"/>
      <c r="CV495" s="229"/>
      <c r="CW495" s="229"/>
    </row>
    <row r="496" ht="15.75" hidden="1" customHeight="1">
      <c r="CD496" s="143"/>
      <c r="CE496" s="128"/>
      <c r="CF496" s="126"/>
      <c r="CG496" s="128"/>
      <c r="CH496" s="126"/>
      <c r="CI496" s="129"/>
      <c r="CJ496" s="130"/>
      <c r="CK496" s="131"/>
      <c r="CL496" s="55"/>
      <c r="CM496" s="40"/>
      <c r="CN496" s="229"/>
      <c r="CO496" s="229"/>
      <c r="CP496" s="229"/>
      <c r="CQ496" s="229"/>
      <c r="CR496" s="229"/>
      <c r="CS496" s="229"/>
      <c r="CT496" s="229"/>
      <c r="CU496" s="229"/>
      <c r="CV496" s="229"/>
      <c r="CW496" s="229"/>
    </row>
    <row r="497" ht="15.75" hidden="1" customHeight="1">
      <c r="CD497" s="143"/>
      <c r="CE497" s="128"/>
      <c r="CF497" s="126"/>
      <c r="CG497" s="128"/>
      <c r="CH497" s="126"/>
      <c r="CI497" s="129"/>
      <c r="CJ497" s="130"/>
      <c r="CK497" s="131"/>
      <c r="CL497" s="55"/>
      <c r="CM497" s="40"/>
      <c r="CN497" s="229"/>
      <c r="CO497" s="229"/>
      <c r="CP497" s="229"/>
      <c r="CQ497" s="229"/>
      <c r="CR497" s="229"/>
      <c r="CS497" s="229"/>
      <c r="CT497" s="229"/>
      <c r="CU497" s="229"/>
      <c r="CV497" s="229"/>
      <c r="CW497" s="229"/>
    </row>
    <row r="498" ht="15.75" hidden="1" customHeight="1">
      <c r="CD498" s="145"/>
      <c r="CE498" s="128"/>
      <c r="CF498" s="126"/>
      <c r="CG498" s="128"/>
      <c r="CH498" s="126"/>
      <c r="CI498" s="129"/>
      <c r="CJ498" s="130"/>
      <c r="CK498" s="131"/>
      <c r="CL498" s="55"/>
      <c r="CM498" s="40"/>
      <c r="CN498" s="229"/>
      <c r="CO498" s="229"/>
      <c r="CP498" s="229"/>
      <c r="CQ498" s="229"/>
      <c r="CR498" s="229"/>
      <c r="CS498" s="229"/>
      <c r="CT498" s="229"/>
      <c r="CU498" s="229"/>
      <c r="CV498" s="229"/>
      <c r="CW498" s="229"/>
    </row>
    <row r="499" ht="15.75" hidden="1" customHeight="1">
      <c r="CD499" s="145"/>
      <c r="CE499" s="128"/>
      <c r="CF499" s="126"/>
      <c r="CG499" s="128"/>
      <c r="CH499" s="126"/>
      <c r="CI499" s="129"/>
      <c r="CJ499" s="130"/>
      <c r="CK499" s="131"/>
      <c r="CL499" s="55"/>
      <c r="CM499" s="40"/>
      <c r="CN499" s="229"/>
      <c r="CO499" s="229"/>
      <c r="CP499" s="229"/>
      <c r="CQ499" s="229"/>
      <c r="CR499" s="229"/>
      <c r="CS499" s="229"/>
      <c r="CT499" s="229"/>
      <c r="CU499" s="229"/>
      <c r="CV499" s="229"/>
      <c r="CW499" s="229"/>
    </row>
    <row r="500" ht="15.75" hidden="1" customHeight="1">
      <c r="CD500" s="145"/>
      <c r="CE500" s="128"/>
      <c r="CF500" s="126"/>
      <c r="CG500" s="128"/>
      <c r="CH500" s="126"/>
      <c r="CI500" s="129"/>
      <c r="CJ500" s="130"/>
      <c r="CK500" s="131"/>
      <c r="CL500" s="55"/>
      <c r="CM500" s="40"/>
      <c r="CN500" s="229"/>
      <c r="CO500" s="229"/>
      <c r="CP500" s="229"/>
      <c r="CQ500" s="229"/>
      <c r="CR500" s="229"/>
      <c r="CS500" s="229"/>
      <c r="CT500" s="229"/>
      <c r="CU500" s="229"/>
      <c r="CV500" s="229"/>
      <c r="CW500" s="229"/>
    </row>
    <row r="501" ht="15.75" hidden="1" customHeight="1">
      <c r="CD501" s="145"/>
      <c r="CE501" s="128"/>
      <c r="CF501" s="126"/>
      <c r="CG501" s="128"/>
      <c r="CH501" s="126"/>
      <c r="CI501" s="129"/>
      <c r="CJ501" s="130"/>
      <c r="CK501" s="131"/>
      <c r="CL501" s="55"/>
      <c r="CM501" s="40"/>
      <c r="CN501" s="229"/>
      <c r="CO501" s="229"/>
      <c r="CP501" s="229"/>
      <c r="CQ501" s="229"/>
      <c r="CR501" s="229"/>
      <c r="CS501" s="229"/>
      <c r="CT501" s="229"/>
      <c r="CU501" s="229"/>
      <c r="CV501" s="229"/>
      <c r="CW501" s="229"/>
    </row>
    <row r="502" ht="15.75" hidden="1" customHeight="1">
      <c r="CD502" s="53"/>
      <c r="CE502" s="147"/>
      <c r="CF502" s="118"/>
      <c r="CG502" s="118"/>
      <c r="CH502" s="117"/>
      <c r="CI502" s="148"/>
      <c r="CJ502" s="118"/>
      <c r="CK502" s="117"/>
      <c r="CL502" s="55"/>
      <c r="CM502" s="40"/>
      <c r="CN502" s="229"/>
      <c r="CO502" s="229"/>
      <c r="CP502" s="229"/>
      <c r="CQ502" s="229"/>
      <c r="CR502" s="229"/>
      <c r="CS502" s="229"/>
      <c r="CT502" s="229"/>
      <c r="CU502" s="229"/>
      <c r="CV502" s="229"/>
      <c r="CW502" s="229"/>
    </row>
    <row r="503" ht="15.75" hidden="1" customHeight="1">
      <c r="CD503" s="53"/>
      <c r="CE503" s="54"/>
      <c r="CF503" s="55"/>
      <c r="CG503" s="55"/>
      <c r="CH503" s="54"/>
      <c r="CI503" s="54"/>
      <c r="CJ503" s="54"/>
      <c r="CK503" s="16"/>
      <c r="CL503" s="55"/>
      <c r="CM503" s="153"/>
      <c r="CN503" s="229"/>
      <c r="CO503" s="229"/>
      <c r="CP503" s="229"/>
      <c r="CQ503" s="229"/>
      <c r="CR503" s="229"/>
      <c r="CS503" s="229"/>
      <c r="CT503" s="229"/>
      <c r="CU503" s="229"/>
      <c r="CV503" s="229"/>
      <c r="CW503" s="229"/>
    </row>
    <row r="504" ht="15.75" hidden="1" customHeight="1">
      <c r="CD504" s="53"/>
      <c r="CE504" s="54"/>
      <c r="CF504" s="55"/>
      <c r="CG504" s="55"/>
      <c r="CH504" s="54"/>
      <c r="CI504" s="54"/>
      <c r="CJ504" s="54"/>
      <c r="CK504" s="16"/>
      <c r="CL504" s="55"/>
      <c r="CM504" s="70"/>
      <c r="CN504" s="229"/>
      <c r="CO504" s="229"/>
      <c r="CP504" s="229"/>
      <c r="CQ504" s="229"/>
      <c r="CR504" s="229"/>
      <c r="CS504" s="229"/>
      <c r="CT504" s="229"/>
      <c r="CU504" s="229"/>
      <c r="CV504" s="229"/>
      <c r="CW504" s="229"/>
    </row>
    <row r="505" ht="15.75" hidden="1" customHeight="1">
      <c r="CD505" s="53"/>
      <c r="CE505" s="161"/>
      <c r="CF505" s="162"/>
      <c r="CG505" s="158"/>
      <c r="CH505" s="163"/>
      <c r="CI505" s="162"/>
      <c r="CJ505" s="158"/>
      <c r="CK505" s="54"/>
      <c r="CL505" s="164"/>
      <c r="CM505" s="153"/>
      <c r="CN505" s="229"/>
      <c r="CO505" s="229"/>
      <c r="CP505" s="229"/>
      <c r="CQ505" s="229"/>
      <c r="CR505" s="229"/>
      <c r="CS505" s="229"/>
      <c r="CT505" s="229"/>
      <c r="CU505" s="229"/>
      <c r="CV505" s="229"/>
      <c r="CW505" s="229"/>
    </row>
    <row r="506" ht="15.75" hidden="1" customHeight="1">
      <c r="CD506" s="53"/>
      <c r="CE506" s="169"/>
      <c r="CF506" s="77"/>
      <c r="CG506" s="77"/>
      <c r="CH506" s="170"/>
      <c r="CI506" s="171"/>
      <c r="CJ506" s="171"/>
      <c r="CK506" s="172"/>
      <c r="CL506" s="40"/>
      <c r="CM506" s="40"/>
      <c r="CN506" s="229"/>
      <c r="CO506" s="229"/>
      <c r="CP506" s="229"/>
      <c r="CQ506" s="229"/>
      <c r="CR506" s="229"/>
      <c r="CS506" s="229"/>
      <c r="CT506" s="229"/>
      <c r="CU506" s="229"/>
      <c r="CV506" s="229"/>
      <c r="CW506" s="229"/>
    </row>
    <row r="507" ht="15.75" hidden="1" customHeight="1">
      <c r="CD507" s="53"/>
      <c r="CE507" s="169"/>
      <c r="CF507" s="77"/>
      <c r="CG507" s="77"/>
      <c r="CH507" s="170"/>
      <c r="CI507" s="175"/>
      <c r="CJ507" s="175"/>
      <c r="CK507" s="172"/>
      <c r="CL507" s="40"/>
      <c r="CM507" s="40"/>
      <c r="CN507" s="229"/>
      <c r="CO507" s="229"/>
      <c r="CP507" s="229"/>
      <c r="CQ507" s="229"/>
      <c r="CR507" s="229"/>
      <c r="CS507" s="229"/>
      <c r="CT507" s="229"/>
      <c r="CU507" s="229"/>
      <c r="CV507" s="229"/>
      <c r="CW507" s="229"/>
    </row>
    <row r="508" ht="15.75" hidden="1" customHeight="1">
      <c r="CD508" s="53"/>
      <c r="CE508" s="169"/>
      <c r="CF508" s="77"/>
      <c r="CG508" s="77"/>
      <c r="CH508" s="170"/>
      <c r="CI508" s="175"/>
      <c r="CJ508" s="175"/>
      <c r="CK508" s="172"/>
      <c r="CL508" s="40"/>
      <c r="CM508" s="40"/>
      <c r="CN508" s="229"/>
      <c r="CO508" s="229"/>
      <c r="CP508" s="229"/>
      <c r="CQ508" s="229"/>
      <c r="CR508" s="229"/>
      <c r="CS508" s="229"/>
      <c r="CT508" s="229"/>
      <c r="CU508" s="229"/>
      <c r="CV508" s="229"/>
      <c r="CW508" s="229"/>
    </row>
    <row r="509" ht="15.75" hidden="1" customHeight="1">
      <c r="CD509" s="53"/>
      <c r="CE509" s="169"/>
      <c r="CF509" s="77"/>
      <c r="CG509" s="77"/>
      <c r="CH509" s="170"/>
      <c r="CI509" s="175"/>
      <c r="CJ509" s="175"/>
      <c r="CK509" s="172"/>
      <c r="CL509" s="40"/>
      <c r="CM509" s="40"/>
      <c r="CN509" s="229"/>
      <c r="CO509" s="229"/>
      <c r="CP509" s="229"/>
      <c r="CQ509" s="229"/>
      <c r="CR509" s="229"/>
      <c r="CS509" s="229"/>
      <c r="CT509" s="229"/>
      <c r="CU509" s="229"/>
      <c r="CV509" s="229"/>
      <c r="CW509" s="229"/>
    </row>
    <row r="510" ht="15.75" hidden="1" customHeight="1">
      <c r="CD510" s="53"/>
      <c r="CE510" s="169"/>
      <c r="CF510" s="77"/>
      <c r="CG510" s="77"/>
      <c r="CH510" s="170"/>
      <c r="CI510" s="175"/>
      <c r="CJ510" s="175"/>
      <c r="CK510" s="172"/>
      <c r="CL510" s="40"/>
      <c r="CM510" s="40"/>
      <c r="CN510" s="229"/>
      <c r="CO510" s="229"/>
      <c r="CP510" s="229"/>
      <c r="CQ510" s="229"/>
      <c r="CR510" s="229"/>
      <c r="CS510" s="229"/>
      <c r="CT510" s="229"/>
      <c r="CU510" s="229"/>
      <c r="CV510" s="229"/>
      <c r="CW510" s="229"/>
    </row>
    <row r="511" ht="15.75" hidden="1" customHeight="1">
      <c r="CD511" s="53"/>
      <c r="CE511" s="169"/>
      <c r="CF511" s="77"/>
      <c r="CG511" s="77"/>
      <c r="CH511" s="170"/>
      <c r="CI511" s="175"/>
      <c r="CJ511" s="175"/>
      <c r="CK511" s="172"/>
      <c r="CL511" s="40"/>
      <c r="CM511" s="40"/>
      <c r="CN511" s="229"/>
      <c r="CO511" s="229"/>
      <c r="CP511" s="229"/>
      <c r="CQ511" s="229"/>
      <c r="CR511" s="229"/>
      <c r="CS511" s="229"/>
      <c r="CT511" s="229"/>
      <c r="CU511" s="229"/>
      <c r="CV511" s="229"/>
      <c r="CW511" s="229"/>
    </row>
    <row r="512" ht="15.75" hidden="1" customHeight="1">
      <c r="CD512" s="53"/>
      <c r="CE512" s="169"/>
      <c r="CF512" s="77"/>
      <c r="CG512" s="77"/>
      <c r="CH512" s="170"/>
      <c r="CI512" s="175"/>
      <c r="CJ512" s="175"/>
      <c r="CK512" s="172"/>
      <c r="CL512" s="40"/>
      <c r="CM512" s="40"/>
      <c r="CN512" s="229"/>
      <c r="CO512" s="229"/>
      <c r="CP512" s="229"/>
      <c r="CQ512" s="229"/>
      <c r="CR512" s="229"/>
      <c r="CS512" s="229"/>
      <c r="CT512" s="229"/>
      <c r="CU512" s="229"/>
      <c r="CV512" s="229"/>
      <c r="CW512" s="229"/>
    </row>
    <row r="513" ht="15.75" hidden="1" customHeight="1">
      <c r="CD513" s="53"/>
      <c r="CE513" s="169"/>
      <c r="CF513" s="77"/>
      <c r="CG513" s="77"/>
      <c r="CH513" s="170"/>
      <c r="CI513" s="175"/>
      <c r="CJ513" s="175"/>
      <c r="CK513" s="172"/>
      <c r="CL513" s="40"/>
      <c r="CM513" s="40"/>
      <c r="CN513" s="229"/>
      <c r="CO513" s="229"/>
      <c r="CP513" s="229"/>
      <c r="CQ513" s="229"/>
      <c r="CR513" s="229"/>
      <c r="CS513" s="229"/>
      <c r="CT513" s="229"/>
      <c r="CU513" s="229"/>
      <c r="CV513" s="229"/>
      <c r="CW513" s="229"/>
    </row>
    <row r="514" ht="15.75" hidden="1" customHeight="1">
      <c r="CD514" s="53"/>
      <c r="CE514" s="169"/>
      <c r="CF514" s="77"/>
      <c r="CG514" s="77"/>
      <c r="CH514" s="170"/>
      <c r="CI514" s="175"/>
      <c r="CJ514" s="175"/>
      <c r="CK514" s="172"/>
      <c r="CL514" s="40"/>
      <c r="CM514" s="40"/>
      <c r="CN514" s="229"/>
      <c r="CO514" s="229"/>
      <c r="CP514" s="229"/>
      <c r="CQ514" s="229"/>
      <c r="CR514" s="229"/>
      <c r="CS514" s="229"/>
      <c r="CT514" s="229"/>
      <c r="CU514" s="229"/>
      <c r="CV514" s="229"/>
      <c r="CW514" s="229"/>
    </row>
    <row r="515" ht="15.75" hidden="1" customHeight="1">
      <c r="CD515" s="53"/>
      <c r="CE515" s="169"/>
      <c r="CF515" s="77"/>
      <c r="CG515" s="77"/>
      <c r="CH515" s="170"/>
      <c r="CI515" s="175"/>
      <c r="CJ515" s="175"/>
      <c r="CK515" s="172"/>
      <c r="CL515" s="40"/>
      <c r="CM515" s="40"/>
      <c r="CN515" s="229"/>
      <c r="CO515" s="229"/>
      <c r="CP515" s="229"/>
      <c r="CQ515" s="229"/>
      <c r="CR515" s="229"/>
      <c r="CS515" s="229"/>
      <c r="CT515" s="229"/>
      <c r="CU515" s="229"/>
      <c r="CV515" s="229"/>
      <c r="CW515" s="229"/>
    </row>
    <row r="516" ht="15.75" hidden="1" customHeight="1">
      <c r="CD516" s="53"/>
      <c r="CE516" s="169"/>
      <c r="CF516" s="77"/>
      <c r="CG516" s="77"/>
      <c r="CH516" s="170"/>
      <c r="CI516" s="175"/>
      <c r="CJ516" s="175"/>
      <c r="CK516" s="172"/>
      <c r="CL516" s="40"/>
      <c r="CM516" s="40"/>
      <c r="CN516" s="229"/>
      <c r="CO516" s="229"/>
      <c r="CP516" s="229"/>
      <c r="CQ516" s="229"/>
      <c r="CR516" s="229"/>
      <c r="CS516" s="229"/>
      <c r="CT516" s="229"/>
      <c r="CU516" s="229"/>
      <c r="CV516" s="229"/>
      <c r="CW516" s="229"/>
    </row>
    <row r="517" ht="15.75" hidden="1" customHeight="1">
      <c r="CD517" s="53"/>
      <c r="CE517" s="169"/>
      <c r="CF517" s="77"/>
      <c r="CG517" s="77"/>
      <c r="CH517" s="170"/>
      <c r="CI517" s="175"/>
      <c r="CJ517" s="175"/>
      <c r="CK517" s="172"/>
      <c r="CL517" s="40"/>
      <c r="CM517" s="40"/>
      <c r="CN517" s="229"/>
      <c r="CO517" s="229"/>
      <c r="CP517" s="229"/>
      <c r="CQ517" s="229"/>
      <c r="CR517" s="229"/>
      <c r="CS517" s="229"/>
      <c r="CT517" s="229"/>
      <c r="CU517" s="229"/>
      <c r="CV517" s="229"/>
      <c r="CW517" s="229"/>
    </row>
    <row r="518" ht="15.75" hidden="1" customHeight="1">
      <c r="CD518" s="53"/>
      <c r="CE518" s="169"/>
      <c r="CF518" s="77"/>
      <c r="CG518" s="77"/>
      <c r="CH518" s="170"/>
      <c r="CI518" s="175"/>
      <c r="CJ518" s="175"/>
      <c r="CK518" s="172"/>
      <c r="CL518" s="40"/>
      <c r="CM518" s="40"/>
      <c r="CN518" s="229"/>
      <c r="CO518" s="229"/>
      <c r="CP518" s="229"/>
      <c r="CQ518" s="229"/>
      <c r="CR518" s="229"/>
      <c r="CS518" s="229"/>
      <c r="CT518" s="229"/>
      <c r="CU518" s="229"/>
      <c r="CV518" s="229"/>
      <c r="CW518" s="229"/>
    </row>
    <row r="519" ht="15.75" hidden="1" customHeight="1">
      <c r="CD519" s="53"/>
      <c r="CE519" s="169"/>
      <c r="CF519" s="77"/>
      <c r="CG519" s="77"/>
      <c r="CH519" s="170"/>
      <c r="CI519" s="175"/>
      <c r="CJ519" s="175"/>
      <c r="CK519" s="172"/>
      <c r="CL519" s="40"/>
      <c r="CM519" s="40"/>
      <c r="CN519" s="229"/>
      <c r="CO519" s="229"/>
      <c r="CP519" s="229"/>
      <c r="CQ519" s="229"/>
      <c r="CR519" s="229"/>
      <c r="CS519" s="229"/>
      <c r="CT519" s="229"/>
      <c r="CU519" s="229"/>
      <c r="CV519" s="229"/>
      <c r="CW519" s="229"/>
    </row>
    <row r="520" ht="15.75" hidden="1" customHeight="1">
      <c r="CD520" s="53"/>
      <c r="CE520" s="169"/>
      <c r="CF520" s="77"/>
      <c r="CG520" s="77"/>
      <c r="CH520" s="170"/>
      <c r="CI520" s="175"/>
      <c r="CJ520" s="175"/>
      <c r="CK520" s="172"/>
      <c r="CL520" s="40"/>
      <c r="CM520" s="40"/>
      <c r="CN520" s="229"/>
      <c r="CO520" s="229"/>
      <c r="CP520" s="229"/>
      <c r="CQ520" s="229"/>
      <c r="CR520" s="229"/>
      <c r="CS520" s="229"/>
      <c r="CT520" s="229"/>
      <c r="CU520" s="229"/>
      <c r="CV520" s="229"/>
      <c r="CW520" s="229"/>
    </row>
    <row r="521" ht="15.75" hidden="1" customHeight="1">
      <c r="CD521" s="53"/>
      <c r="CE521" s="169"/>
      <c r="CF521" s="77"/>
      <c r="CG521" s="77"/>
      <c r="CH521" s="170"/>
      <c r="CI521" s="175"/>
      <c r="CJ521" s="175"/>
      <c r="CK521" s="172"/>
      <c r="CL521" s="40"/>
      <c r="CM521" s="40"/>
      <c r="CN521" s="229"/>
      <c r="CO521" s="229"/>
      <c r="CP521" s="229"/>
      <c r="CQ521" s="229"/>
      <c r="CR521" s="229"/>
      <c r="CS521" s="229"/>
      <c r="CT521" s="229"/>
      <c r="CU521" s="229"/>
      <c r="CV521" s="229"/>
      <c r="CW521" s="229"/>
    </row>
    <row r="522" ht="15.75" hidden="1" customHeight="1">
      <c r="CD522" s="53"/>
      <c r="CE522" s="180"/>
      <c r="CF522" s="77"/>
      <c r="CG522" s="77"/>
      <c r="CH522" s="181"/>
      <c r="CI522" s="182"/>
      <c r="CJ522" s="182"/>
      <c r="CK522" s="172"/>
      <c r="CL522" s="40"/>
      <c r="CM522" s="40"/>
      <c r="CN522" s="229"/>
      <c r="CO522" s="229"/>
      <c r="CP522" s="229"/>
      <c r="CQ522" s="229"/>
      <c r="CR522" s="229"/>
      <c r="CS522" s="229"/>
      <c r="CT522" s="229"/>
      <c r="CU522" s="229"/>
      <c r="CV522" s="229"/>
      <c r="CW522" s="229"/>
    </row>
    <row r="523" ht="15.75" hidden="1" customHeight="1">
      <c r="CD523" s="53"/>
      <c r="CE523" s="190"/>
      <c r="CF523" s="77"/>
      <c r="CG523" s="77"/>
      <c r="CH523" s="188"/>
      <c r="CI523" s="175"/>
      <c r="CJ523" s="175"/>
      <c r="CK523" s="189"/>
      <c r="CL523" s="40"/>
      <c r="CM523" s="40"/>
      <c r="CN523" s="229"/>
      <c r="CO523" s="229"/>
      <c r="CP523" s="229"/>
      <c r="CQ523" s="229"/>
      <c r="CR523" s="229"/>
      <c r="CS523" s="229"/>
      <c r="CT523" s="229"/>
      <c r="CU523" s="229"/>
      <c r="CV523" s="229"/>
      <c r="CW523" s="229"/>
    </row>
    <row r="524" ht="15.75" hidden="1" customHeight="1">
      <c r="CD524" s="53"/>
      <c r="CE524" s="190"/>
      <c r="CF524" s="77"/>
      <c r="CG524" s="77"/>
      <c r="CH524" s="188"/>
      <c r="CI524" s="175"/>
      <c r="CJ524" s="175"/>
      <c r="CK524" s="192"/>
      <c r="CL524" s="40"/>
      <c r="CM524" s="40"/>
      <c r="CN524" s="229"/>
      <c r="CO524" s="229"/>
      <c r="CP524" s="229"/>
      <c r="CQ524" s="229"/>
      <c r="CR524" s="229"/>
      <c r="CS524" s="229"/>
      <c r="CT524" s="229"/>
      <c r="CU524" s="229"/>
      <c r="CV524" s="229"/>
      <c r="CW524" s="229"/>
    </row>
    <row r="525" ht="15.75" hidden="1" customHeight="1">
      <c r="CD525" s="53"/>
      <c r="CE525" s="190"/>
      <c r="CF525" s="77"/>
      <c r="CG525" s="77"/>
      <c r="CH525" s="188"/>
      <c r="CI525" s="175"/>
      <c r="CJ525" s="175"/>
      <c r="CK525" s="192"/>
      <c r="CL525" s="40"/>
      <c r="CM525" s="40"/>
      <c r="CN525" s="229"/>
      <c r="CO525" s="229"/>
      <c r="CP525" s="229"/>
      <c r="CQ525" s="229"/>
      <c r="CR525" s="229"/>
      <c r="CS525" s="229"/>
      <c r="CT525" s="229"/>
      <c r="CU525" s="229"/>
      <c r="CV525" s="229"/>
      <c r="CW525" s="229"/>
    </row>
    <row r="526" ht="15.75" hidden="1" customHeight="1">
      <c r="CD526" s="53"/>
      <c r="CE526" s="187"/>
      <c r="CF526" s="77"/>
      <c r="CG526" s="77"/>
      <c r="CH526" s="188"/>
      <c r="CI526" s="175"/>
      <c r="CJ526" s="175"/>
      <c r="CK526" s="192"/>
      <c r="CL526" s="40"/>
      <c r="CM526" s="40"/>
      <c r="CN526" s="229"/>
      <c r="CO526" s="229"/>
      <c r="CP526" s="229"/>
      <c r="CQ526" s="229"/>
      <c r="CR526" s="229"/>
      <c r="CS526" s="229"/>
      <c r="CT526" s="229"/>
      <c r="CU526" s="229"/>
      <c r="CV526" s="229"/>
      <c r="CW526" s="229"/>
    </row>
    <row r="527" ht="15.75" hidden="1" customHeight="1">
      <c r="CD527" s="53"/>
      <c r="CE527" s="190"/>
      <c r="CF527" s="77"/>
      <c r="CG527" s="77"/>
      <c r="CH527" s="188"/>
      <c r="CI527" s="175"/>
      <c r="CJ527" s="175"/>
      <c r="CK527" s="192"/>
      <c r="CL527" s="40"/>
      <c r="CM527" s="40"/>
      <c r="CN527" s="229"/>
      <c r="CO527" s="229"/>
      <c r="CP527" s="229"/>
      <c r="CQ527" s="229"/>
      <c r="CR527" s="229"/>
      <c r="CS527" s="229"/>
      <c r="CT527" s="229"/>
      <c r="CU527" s="229"/>
      <c r="CV527" s="229"/>
      <c r="CW527" s="229"/>
    </row>
    <row r="528" ht="15.75" hidden="1" customHeight="1">
      <c r="CD528" s="53"/>
      <c r="CE528" s="190"/>
      <c r="CF528" s="77"/>
      <c r="CG528" s="77"/>
      <c r="CH528" s="188"/>
      <c r="CI528" s="175"/>
      <c r="CJ528" s="175"/>
      <c r="CK528" s="192"/>
      <c r="CL528" s="40"/>
      <c r="CM528" s="40"/>
      <c r="CN528" s="229"/>
      <c r="CO528" s="229"/>
      <c r="CP528" s="229"/>
      <c r="CQ528" s="229"/>
      <c r="CR528" s="229"/>
      <c r="CS528" s="229"/>
      <c r="CT528" s="229"/>
      <c r="CU528" s="229"/>
      <c r="CV528" s="229"/>
      <c r="CW528" s="229"/>
    </row>
    <row r="529" ht="15.75" hidden="1" customHeight="1">
      <c r="CD529" s="53"/>
      <c r="CE529" s="198"/>
      <c r="CF529" s="77"/>
      <c r="CG529" s="77"/>
      <c r="CH529" s="196"/>
      <c r="CI529" s="197"/>
      <c r="CJ529" s="197"/>
      <c r="CK529" s="192"/>
      <c r="CL529" s="40"/>
      <c r="CM529" s="40"/>
      <c r="CN529" s="229"/>
      <c r="CO529" s="229"/>
      <c r="CP529" s="229"/>
      <c r="CQ529" s="229"/>
      <c r="CR529" s="229"/>
      <c r="CS529" s="229"/>
      <c r="CT529" s="229"/>
      <c r="CU529" s="229"/>
      <c r="CV529" s="229"/>
      <c r="CW529" s="229"/>
    </row>
    <row r="530" ht="15.75" hidden="1" customHeight="1">
      <c r="CD530" s="53"/>
      <c r="CE530" s="180"/>
      <c r="CF530" s="201"/>
      <c r="CG530" s="201"/>
      <c r="CH530" s="181"/>
      <c r="CI530" s="182"/>
      <c r="CJ530" s="182"/>
      <c r="CK530" s="192"/>
      <c r="CL530" s="40"/>
      <c r="CM530" s="40"/>
      <c r="CN530" s="229"/>
      <c r="CO530" s="229"/>
      <c r="CP530" s="229"/>
      <c r="CQ530" s="229"/>
      <c r="CR530" s="229"/>
      <c r="CS530" s="229"/>
      <c r="CT530" s="229"/>
      <c r="CU530" s="229"/>
      <c r="CV530" s="229"/>
      <c r="CW530" s="229"/>
    </row>
    <row r="531" ht="15.75" hidden="1" customHeight="1">
      <c r="CD531" s="53"/>
      <c r="CE531" s="187"/>
      <c r="CF531" s="77"/>
      <c r="CG531" s="77"/>
      <c r="CH531" s="188"/>
      <c r="CI531" s="175"/>
      <c r="CJ531" s="175"/>
      <c r="CK531" s="192"/>
      <c r="CL531" s="40"/>
      <c r="CM531" s="40"/>
      <c r="CN531" s="229"/>
      <c r="CO531" s="229"/>
      <c r="CP531" s="229"/>
      <c r="CQ531" s="229"/>
      <c r="CR531" s="229"/>
      <c r="CS531" s="229"/>
      <c r="CT531" s="229"/>
      <c r="CU531" s="229"/>
      <c r="CV531" s="229"/>
      <c r="CW531" s="229"/>
    </row>
    <row r="532" ht="15.75" hidden="1" customHeight="1">
      <c r="CD532" s="53"/>
      <c r="CE532" s="187"/>
      <c r="CF532" s="77"/>
      <c r="CG532" s="77"/>
      <c r="CH532" s="188"/>
      <c r="CI532" s="175"/>
      <c r="CJ532" s="175"/>
      <c r="CK532" s="192"/>
      <c r="CL532" s="40"/>
      <c r="CM532" s="40"/>
      <c r="CN532" s="229"/>
      <c r="CO532" s="229"/>
      <c r="CP532" s="229"/>
      <c r="CQ532" s="229"/>
      <c r="CR532" s="229"/>
      <c r="CS532" s="229"/>
      <c r="CT532" s="229"/>
      <c r="CU532" s="229"/>
      <c r="CV532" s="229"/>
      <c r="CW532" s="229"/>
    </row>
    <row r="533" ht="15.75" hidden="1" customHeight="1">
      <c r="CD533" s="53"/>
      <c r="CE533" s="195"/>
      <c r="CF533" s="77"/>
      <c r="CG533" s="77"/>
      <c r="CH533" s="196"/>
      <c r="CI533" s="197"/>
      <c r="CJ533" s="197"/>
      <c r="CK533" s="192"/>
      <c r="CL533" s="40"/>
      <c r="CM533" s="40"/>
      <c r="CN533" s="229"/>
      <c r="CO533" s="229"/>
      <c r="CP533" s="229"/>
      <c r="CQ533" s="229"/>
      <c r="CR533" s="229"/>
      <c r="CS533" s="229"/>
      <c r="CT533" s="229"/>
      <c r="CU533" s="229"/>
      <c r="CV533" s="229"/>
      <c r="CW533" s="229"/>
    </row>
    <row r="534" ht="15.75" hidden="1" customHeight="1">
      <c r="CD534" s="53"/>
      <c r="CE534" s="180"/>
      <c r="CF534" s="201"/>
      <c r="CG534" s="201"/>
      <c r="CH534" s="181"/>
      <c r="CI534" s="182"/>
      <c r="CJ534" s="182"/>
      <c r="CK534" s="192"/>
      <c r="CL534" s="40"/>
      <c r="CM534" s="40"/>
      <c r="CN534" s="229"/>
      <c r="CO534" s="229"/>
      <c r="CP534" s="229"/>
      <c r="CQ534" s="229"/>
      <c r="CR534" s="229"/>
      <c r="CS534" s="229"/>
      <c r="CT534" s="229"/>
      <c r="CU534" s="229"/>
      <c r="CV534" s="229"/>
      <c r="CW534" s="229"/>
    </row>
    <row r="535" ht="15.75" hidden="1" customHeight="1">
      <c r="CD535" s="53"/>
      <c r="CE535" s="195"/>
      <c r="CF535" s="77"/>
      <c r="CG535" s="77"/>
      <c r="CH535" s="196"/>
      <c r="CI535" s="197"/>
      <c r="CJ535" s="197"/>
      <c r="CK535" s="192"/>
      <c r="CL535" s="40"/>
      <c r="CM535" s="40"/>
      <c r="CN535" s="229"/>
      <c r="CO535" s="229"/>
      <c r="CP535" s="229"/>
      <c r="CQ535" s="229"/>
      <c r="CR535" s="229"/>
      <c r="CS535" s="229"/>
      <c r="CT535" s="229"/>
      <c r="CU535" s="229"/>
      <c r="CV535" s="229"/>
      <c r="CW535" s="229"/>
    </row>
    <row r="536" ht="15.75" hidden="1" customHeight="1">
      <c r="CD536" s="53"/>
      <c r="CE536" s="207"/>
      <c r="CF536" s="77"/>
      <c r="CG536" s="77"/>
      <c r="CH536" s="208"/>
      <c r="CI536" s="209"/>
      <c r="CJ536" s="209"/>
      <c r="CK536" s="192"/>
      <c r="CL536" s="40"/>
      <c r="CM536" s="40"/>
      <c r="CN536" s="229"/>
      <c r="CO536" s="229"/>
      <c r="CP536" s="229"/>
      <c r="CQ536" s="229"/>
      <c r="CR536" s="229"/>
      <c r="CS536" s="229"/>
      <c r="CT536" s="229"/>
      <c r="CU536" s="229"/>
      <c r="CV536" s="229"/>
      <c r="CW536" s="229"/>
    </row>
    <row r="537" ht="15.75" hidden="1" customHeight="1">
      <c r="CD537" s="64"/>
      <c r="CE537" s="54"/>
      <c r="CF537" s="55"/>
      <c r="CG537" s="55"/>
      <c r="CH537" s="54"/>
      <c r="CI537" s="54"/>
      <c r="CJ537" s="54"/>
      <c r="CK537" s="16"/>
      <c r="CL537" s="55"/>
      <c r="CM537" s="70"/>
      <c r="CN537" s="229"/>
      <c r="CO537" s="229"/>
      <c r="CP537" s="229"/>
      <c r="CQ537" s="229"/>
      <c r="CR537" s="229"/>
      <c r="CS537" s="229"/>
      <c r="CT537" s="229"/>
      <c r="CU537" s="229"/>
      <c r="CV537" s="229"/>
      <c r="CW537" s="229"/>
    </row>
    <row r="538" ht="15.75" hidden="1" customHeight="1">
      <c r="CD538" s="54"/>
      <c r="CE538" s="54"/>
      <c r="CF538" s="55"/>
      <c r="CG538" s="55"/>
      <c r="CH538" s="54"/>
      <c r="CI538" s="54"/>
      <c r="CJ538" s="54"/>
      <c r="CK538" s="16"/>
      <c r="CL538" s="55"/>
      <c r="CM538" s="70"/>
      <c r="CN538" s="229"/>
      <c r="CO538" s="229"/>
      <c r="CP538" s="229"/>
      <c r="CQ538" s="229"/>
      <c r="CR538" s="229"/>
      <c r="CS538" s="229"/>
      <c r="CT538" s="229"/>
      <c r="CU538" s="229"/>
      <c r="CV538" s="229"/>
      <c r="CW538" s="229"/>
    </row>
    <row r="539" ht="15.75" hidden="1" customHeight="1">
      <c r="CD539" s="216"/>
      <c r="CE539" s="217"/>
      <c r="CF539" s="218"/>
      <c r="CG539" s="118"/>
      <c r="CH539" s="118"/>
      <c r="CI539" s="118"/>
      <c r="CJ539" s="118"/>
      <c r="CK539" s="117"/>
      <c r="CL539" s="219"/>
      <c r="CM539" s="220"/>
      <c r="CN539" s="229"/>
      <c r="CO539" s="229"/>
      <c r="CP539" s="229"/>
      <c r="CQ539" s="229"/>
      <c r="CR539" s="229"/>
      <c r="CS539" s="229"/>
      <c r="CT539" s="229"/>
      <c r="CU539" s="229"/>
      <c r="CV539" s="229"/>
      <c r="CW539" s="229"/>
    </row>
    <row r="540" ht="15.75" hidden="1" customHeight="1">
      <c r="CD540" s="16"/>
      <c r="CE540" s="217"/>
      <c r="CF540" s="218"/>
      <c r="CG540" s="118"/>
      <c r="CH540" s="118"/>
      <c r="CI540" s="118"/>
      <c r="CJ540" s="118"/>
      <c r="CK540" s="117"/>
      <c r="CL540" s="227"/>
      <c r="CM540" s="228"/>
      <c r="CN540" s="229"/>
      <c r="CO540" s="229"/>
      <c r="CP540" s="229"/>
      <c r="CQ540" s="229"/>
      <c r="CR540" s="229"/>
      <c r="CS540" s="229"/>
      <c r="CT540" s="229"/>
      <c r="CU540" s="229"/>
      <c r="CV540" s="229"/>
      <c r="CW540" s="229"/>
    </row>
    <row r="541" ht="15.75" hidden="1" customHeight="1">
      <c r="CD541" s="4"/>
      <c r="CE541" s="2"/>
      <c r="CF541" s="2"/>
      <c r="CG541" s="2"/>
      <c r="CH541" s="2"/>
      <c r="CI541" s="5"/>
      <c r="CJ541" s="5"/>
      <c r="CK541" s="5"/>
      <c r="CL541" s="5"/>
      <c r="CM541" s="6"/>
      <c r="CN541" s="229"/>
      <c r="CO541" s="229"/>
      <c r="CP541" s="229"/>
      <c r="CQ541" s="229"/>
      <c r="CR541" s="229"/>
      <c r="CS541" s="229"/>
      <c r="CT541" s="229"/>
      <c r="CU541" s="229"/>
      <c r="CV541" s="229"/>
      <c r="CW541" s="229"/>
    </row>
    <row r="542" ht="15.75" hidden="1" customHeight="1">
      <c r="CD542" s="11"/>
      <c r="CI542" s="12"/>
      <c r="CJ542" s="12"/>
      <c r="CK542" s="12"/>
      <c r="CL542" s="13"/>
      <c r="CM542" s="14"/>
      <c r="CN542" s="229"/>
      <c r="CO542" s="229"/>
      <c r="CP542" s="229"/>
      <c r="CQ542" s="229"/>
      <c r="CR542" s="229"/>
      <c r="CS542" s="229"/>
      <c r="CT542" s="229"/>
      <c r="CU542" s="229"/>
      <c r="CV542" s="229"/>
      <c r="CW542" s="229"/>
    </row>
    <row r="543" ht="15.75" hidden="1" customHeight="1">
      <c r="CD543" s="17"/>
      <c r="CE543" s="18"/>
      <c r="CF543" s="18"/>
      <c r="CG543" s="18"/>
      <c r="CH543" s="18"/>
      <c r="CI543" s="18"/>
      <c r="CJ543" s="18"/>
      <c r="CK543" s="18"/>
      <c r="CL543" s="18"/>
      <c r="CM543" s="18"/>
      <c r="CN543" s="229"/>
      <c r="CO543" s="229"/>
      <c r="CP543" s="229"/>
      <c r="CQ543" s="229"/>
      <c r="CR543" s="229"/>
      <c r="CS543" s="229"/>
      <c r="CT543" s="229"/>
      <c r="CU543" s="229"/>
      <c r="CV543" s="229"/>
      <c r="CW543" s="229"/>
    </row>
    <row r="544" ht="15.75" hidden="1" customHeight="1">
      <c r="CD544" s="23"/>
      <c r="CE544" s="24"/>
      <c r="CF544" s="28"/>
      <c r="CG544" s="26"/>
      <c r="CH544" s="26"/>
      <c r="CI544" s="26"/>
      <c r="CJ544" s="26"/>
      <c r="CK544" s="27"/>
      <c r="CL544" s="27"/>
      <c r="CM544" s="27"/>
      <c r="CN544" s="229"/>
      <c r="CO544" s="229"/>
      <c r="CP544" s="229"/>
      <c r="CQ544" s="229"/>
      <c r="CR544" s="229"/>
      <c r="CS544" s="229"/>
      <c r="CT544" s="229"/>
      <c r="CU544" s="229"/>
      <c r="CV544" s="229"/>
      <c r="CW544" s="229"/>
    </row>
    <row r="545" ht="15.75" hidden="1" customHeight="1">
      <c r="CD545" s="23"/>
      <c r="CE545" s="26"/>
      <c r="CF545" s="39"/>
      <c r="CG545" s="26"/>
      <c r="CH545" s="26"/>
      <c r="CI545" s="26"/>
      <c r="CJ545" s="26"/>
      <c r="CK545" s="40"/>
      <c r="CL545" s="40"/>
      <c r="CM545" s="40"/>
      <c r="CN545" s="229"/>
      <c r="CO545" s="229"/>
      <c r="CP545" s="229"/>
      <c r="CQ545" s="229"/>
      <c r="CR545" s="229"/>
      <c r="CS545" s="229"/>
      <c r="CT545" s="229"/>
      <c r="CU545" s="229"/>
      <c r="CV545" s="229"/>
      <c r="CW545" s="229"/>
    </row>
    <row r="546" ht="15.75" hidden="1" customHeight="1">
      <c r="CD546" s="45"/>
      <c r="CE546" s="46"/>
      <c r="CF546" s="46"/>
      <c r="CG546" s="46"/>
      <c r="CH546" s="46"/>
      <c r="CI546" s="46"/>
      <c r="CJ546" s="46"/>
      <c r="CK546" s="46"/>
      <c r="CL546" s="47"/>
      <c r="CM546" s="47"/>
      <c r="CN546" s="229"/>
      <c r="CO546" s="229"/>
      <c r="CP546" s="229"/>
      <c r="CQ546" s="229"/>
      <c r="CR546" s="229"/>
      <c r="CS546" s="229"/>
      <c r="CT546" s="229"/>
      <c r="CU546" s="229"/>
      <c r="CV546" s="229"/>
      <c r="CW546" s="229"/>
    </row>
    <row r="547" ht="15.75" hidden="1" customHeight="1">
      <c r="CD547" s="53"/>
      <c r="CE547" s="54"/>
      <c r="CF547" s="54"/>
      <c r="CG547" s="54"/>
      <c r="CH547" s="54"/>
      <c r="CI547" s="54"/>
      <c r="CJ547" s="54"/>
      <c r="CK547" s="54"/>
      <c r="CL547" s="55"/>
      <c r="CM547" s="56"/>
      <c r="CN547" s="229"/>
      <c r="CO547" s="229"/>
      <c r="CP547" s="229"/>
      <c r="CQ547" s="229"/>
      <c r="CR547" s="229"/>
      <c r="CS547" s="229"/>
      <c r="CT547" s="229"/>
      <c r="CU547" s="229"/>
      <c r="CV547" s="229"/>
      <c r="CW547" s="229"/>
    </row>
    <row r="548" ht="15.75" hidden="1" customHeight="1">
      <c r="CD548" s="64"/>
      <c r="CE548" s="65"/>
      <c r="CF548" s="62"/>
      <c r="CG548" s="62"/>
      <c r="CH548" s="66"/>
      <c r="CI548" s="54"/>
      <c r="CJ548" s="54"/>
      <c r="CK548" s="71"/>
      <c r="CL548" s="68"/>
      <c r="CM548" s="70"/>
      <c r="CN548" s="229"/>
      <c r="CO548" s="229"/>
      <c r="CP548" s="229"/>
      <c r="CQ548" s="229"/>
      <c r="CR548" s="229"/>
      <c r="CS548" s="229"/>
      <c r="CT548" s="229"/>
      <c r="CU548" s="229"/>
      <c r="CV548" s="229"/>
      <c r="CW548" s="229"/>
    </row>
    <row r="549" ht="15.75" hidden="1" customHeight="1">
      <c r="CD549" s="64"/>
      <c r="CE549" s="65"/>
      <c r="CF549" s="62"/>
      <c r="CG549" s="62"/>
      <c r="CH549" s="66"/>
      <c r="CI549" s="54"/>
      <c r="CJ549" s="54"/>
      <c r="CK549" s="67"/>
      <c r="CL549" s="78"/>
      <c r="CM549" s="70"/>
      <c r="CN549" s="229"/>
      <c r="CO549" s="229"/>
      <c r="CP549" s="229"/>
      <c r="CQ549" s="229"/>
      <c r="CR549" s="229"/>
      <c r="CS549" s="229"/>
      <c r="CT549" s="229"/>
      <c r="CU549" s="229"/>
      <c r="CV549" s="229"/>
      <c r="CW549" s="229"/>
    </row>
    <row r="550" ht="15.75" hidden="1" customHeight="1">
      <c r="CD550" s="64"/>
      <c r="CE550" s="65"/>
      <c r="CF550" s="62"/>
      <c r="CG550" s="62"/>
      <c r="CH550" s="66"/>
      <c r="CI550" s="54"/>
      <c r="CJ550" s="54"/>
      <c r="CK550" s="67"/>
      <c r="CL550" s="78"/>
      <c r="CM550" s="70"/>
      <c r="CN550" s="229"/>
      <c r="CO550" s="229"/>
      <c r="CP550" s="229"/>
      <c r="CQ550" s="229"/>
      <c r="CR550" s="229"/>
      <c r="CS550" s="229"/>
      <c r="CT550" s="229"/>
      <c r="CU550" s="229"/>
      <c r="CV550" s="229"/>
      <c r="CW550" s="229"/>
    </row>
    <row r="551" ht="15.75" hidden="1" customHeight="1">
      <c r="CD551" s="64"/>
      <c r="CE551" s="65"/>
      <c r="CF551" s="62"/>
      <c r="CG551" s="62"/>
      <c r="CH551" s="66"/>
      <c r="CI551" s="54"/>
      <c r="CJ551" s="54"/>
      <c r="CK551" s="67"/>
      <c r="CL551" s="78"/>
      <c r="CM551" s="70"/>
      <c r="CN551" s="229"/>
      <c r="CO551" s="229"/>
      <c r="CP551" s="229"/>
      <c r="CQ551" s="229"/>
      <c r="CR551" s="229"/>
      <c r="CS551" s="229"/>
      <c r="CT551" s="229"/>
      <c r="CU551" s="229"/>
      <c r="CV551" s="229"/>
      <c r="CW551" s="229"/>
    </row>
    <row r="552" ht="15.75" hidden="1" customHeight="1">
      <c r="CD552" s="64"/>
      <c r="CE552" s="65"/>
      <c r="CF552" s="62"/>
      <c r="CG552" s="62"/>
      <c r="CH552" s="66"/>
      <c r="CI552" s="54"/>
      <c r="CJ552" s="54"/>
      <c r="CK552" s="67"/>
      <c r="CL552" s="78"/>
      <c r="CM552" s="70"/>
      <c r="CN552" s="229"/>
      <c r="CO552" s="229"/>
      <c r="CP552" s="229"/>
      <c r="CQ552" s="229"/>
      <c r="CR552" s="229"/>
      <c r="CS552" s="229"/>
      <c r="CT552" s="229"/>
      <c r="CU552" s="229"/>
      <c r="CV552" s="229"/>
      <c r="CW552" s="229"/>
    </row>
    <row r="553" ht="15.75" hidden="1" customHeight="1">
      <c r="CD553" s="64"/>
      <c r="CE553" s="65"/>
      <c r="CF553" s="62"/>
      <c r="CG553" s="62"/>
      <c r="CH553" s="66"/>
      <c r="CI553" s="54"/>
      <c r="CJ553" s="54"/>
      <c r="CK553" s="67"/>
      <c r="CL553" s="78"/>
      <c r="CM553" s="70"/>
      <c r="CN553" s="229"/>
      <c r="CO553" s="229"/>
      <c r="CP553" s="229"/>
      <c r="CQ553" s="229"/>
      <c r="CR553" s="229"/>
      <c r="CS553" s="229"/>
      <c r="CT553" s="229"/>
      <c r="CU553" s="229"/>
      <c r="CV553" s="229"/>
      <c r="CW553" s="229"/>
    </row>
    <row r="554" ht="15.75" hidden="1" customHeight="1">
      <c r="CD554" s="64"/>
      <c r="CE554" s="65"/>
      <c r="CF554" s="62"/>
      <c r="CG554" s="62"/>
      <c r="CH554" s="66"/>
      <c r="CI554" s="54"/>
      <c r="CJ554" s="54"/>
      <c r="CK554" s="67"/>
      <c r="CL554" s="78"/>
      <c r="CM554" s="70"/>
      <c r="CN554" s="229"/>
      <c r="CO554" s="229"/>
      <c r="CP554" s="229"/>
      <c r="CQ554" s="229"/>
      <c r="CR554" s="229"/>
      <c r="CS554" s="229"/>
      <c r="CT554" s="229"/>
      <c r="CU554" s="229"/>
      <c r="CV554" s="229"/>
      <c r="CW554" s="229"/>
    </row>
    <row r="555" ht="15.75" hidden="1" customHeight="1">
      <c r="CD555" s="64"/>
      <c r="CE555" s="65"/>
      <c r="CF555" s="62"/>
      <c r="CG555" s="62"/>
      <c r="CH555" s="66"/>
      <c r="CI555" s="54"/>
      <c r="CJ555" s="54"/>
      <c r="CK555" s="67"/>
      <c r="CL555" s="78"/>
      <c r="CM555" s="70"/>
      <c r="CN555" s="229"/>
      <c r="CO555" s="229"/>
      <c r="CP555" s="229"/>
      <c r="CQ555" s="229"/>
      <c r="CR555" s="229"/>
      <c r="CS555" s="229"/>
      <c r="CT555" s="229"/>
      <c r="CU555" s="229"/>
      <c r="CV555" s="229"/>
      <c r="CW555" s="229"/>
    </row>
    <row r="556" ht="15.75" hidden="1" customHeight="1">
      <c r="CD556" s="64"/>
      <c r="CE556" s="65"/>
      <c r="CF556" s="62"/>
      <c r="CG556" s="62"/>
      <c r="CH556" s="66"/>
      <c r="CI556" s="54"/>
      <c r="CJ556" s="54"/>
      <c r="CK556" s="67"/>
      <c r="CL556" s="78"/>
      <c r="CM556" s="70"/>
      <c r="CN556" s="229"/>
      <c r="CO556" s="229"/>
      <c r="CP556" s="229"/>
      <c r="CQ556" s="229"/>
      <c r="CR556" s="229"/>
      <c r="CS556" s="229"/>
      <c r="CT556" s="229"/>
      <c r="CU556" s="229"/>
      <c r="CV556" s="229"/>
      <c r="CW556" s="229"/>
    </row>
    <row r="557" ht="15.75" hidden="1" customHeight="1">
      <c r="CD557" s="64"/>
      <c r="CE557" s="65"/>
      <c r="CF557" s="62"/>
      <c r="CG557" s="62"/>
      <c r="CH557" s="66"/>
      <c r="CI557" s="54"/>
      <c r="CJ557" s="54"/>
      <c r="CK557" s="67"/>
      <c r="CL557" s="78"/>
      <c r="CM557" s="70"/>
      <c r="CN557" s="229"/>
      <c r="CO557" s="229"/>
      <c r="CP557" s="229"/>
      <c r="CQ557" s="229"/>
      <c r="CR557" s="229"/>
      <c r="CS557" s="229"/>
      <c r="CT557" s="229"/>
      <c r="CU557" s="229"/>
      <c r="CV557" s="229"/>
      <c r="CW557" s="229"/>
    </row>
    <row r="558" ht="15.75" hidden="1" customHeight="1">
      <c r="CD558" s="64"/>
      <c r="CE558" s="65"/>
      <c r="CF558" s="62"/>
      <c r="CG558" s="62"/>
      <c r="CH558" s="66"/>
      <c r="CI558" s="54"/>
      <c r="CJ558" s="54"/>
      <c r="CK558" s="67"/>
      <c r="CL558" s="78"/>
      <c r="CM558" s="70"/>
      <c r="CN558" s="229"/>
      <c r="CO558" s="229"/>
      <c r="CP558" s="229"/>
      <c r="CQ558" s="229"/>
      <c r="CR558" s="229"/>
      <c r="CS558" s="229"/>
      <c r="CT558" s="229"/>
      <c r="CU558" s="229"/>
      <c r="CV558" s="229"/>
      <c r="CW558" s="229"/>
    </row>
    <row r="559" ht="15.75" hidden="1" customHeight="1">
      <c r="CD559" s="64"/>
      <c r="CE559" s="65"/>
      <c r="CF559" s="62"/>
      <c r="CG559" s="62"/>
      <c r="CH559" s="66"/>
      <c r="CI559" s="54"/>
      <c r="CJ559" s="54"/>
      <c r="CK559" s="67"/>
      <c r="CL559" s="78"/>
      <c r="CM559" s="70"/>
      <c r="CN559" s="229"/>
      <c r="CO559" s="229"/>
      <c r="CP559" s="229"/>
      <c r="CQ559" s="229"/>
      <c r="CR559" s="229"/>
      <c r="CS559" s="229"/>
      <c r="CT559" s="229"/>
      <c r="CU559" s="229"/>
      <c r="CV559" s="229"/>
      <c r="CW559" s="229"/>
    </row>
    <row r="560" ht="15.75" hidden="1" customHeight="1">
      <c r="CD560" s="64"/>
      <c r="CE560" s="65"/>
      <c r="CF560" s="62"/>
      <c r="CG560" s="62"/>
      <c r="CH560" s="66"/>
      <c r="CI560" s="54"/>
      <c r="CJ560" s="54"/>
      <c r="CK560" s="67"/>
      <c r="CL560" s="78"/>
      <c r="CM560" s="70"/>
      <c r="CN560" s="229"/>
      <c r="CO560" s="229"/>
      <c r="CP560" s="229"/>
      <c r="CQ560" s="229"/>
      <c r="CR560" s="229"/>
      <c r="CS560" s="229"/>
      <c r="CT560" s="229"/>
      <c r="CU560" s="229"/>
      <c r="CV560" s="229"/>
      <c r="CW560" s="229"/>
    </row>
    <row r="561" ht="15.75" hidden="1" customHeight="1">
      <c r="CD561" s="64"/>
      <c r="CE561" s="65"/>
      <c r="CF561" s="62"/>
      <c r="CG561" s="62"/>
      <c r="CH561" s="66"/>
      <c r="CI561" s="54"/>
      <c r="CJ561" s="54"/>
      <c r="CK561" s="67"/>
      <c r="CL561" s="78"/>
      <c r="CM561" s="70"/>
      <c r="CN561" s="229"/>
      <c r="CO561" s="229"/>
      <c r="CP561" s="229"/>
      <c r="CQ561" s="229"/>
      <c r="CR561" s="229"/>
      <c r="CS561" s="229"/>
      <c r="CT561" s="229"/>
      <c r="CU561" s="229"/>
      <c r="CV561" s="229"/>
      <c r="CW561" s="229"/>
    </row>
    <row r="562" ht="15.75" hidden="1" customHeight="1">
      <c r="CD562" s="64"/>
      <c r="CE562" s="65"/>
      <c r="CF562" s="62"/>
      <c r="CG562" s="62"/>
      <c r="CH562" s="66"/>
      <c r="CI562" s="54"/>
      <c r="CJ562" s="54"/>
      <c r="CK562" s="67"/>
      <c r="CL562" s="78"/>
      <c r="CM562" s="70"/>
      <c r="CN562" s="229"/>
      <c r="CO562" s="229"/>
      <c r="CP562" s="229"/>
      <c r="CQ562" s="229"/>
      <c r="CR562" s="229"/>
      <c r="CS562" s="229"/>
      <c r="CT562" s="229"/>
      <c r="CU562" s="229"/>
      <c r="CV562" s="229"/>
      <c r="CW562" s="229"/>
    </row>
    <row r="563" ht="15.75" hidden="1" customHeight="1">
      <c r="CD563" s="64"/>
      <c r="CE563" s="65"/>
      <c r="CF563" s="62"/>
      <c r="CG563" s="62"/>
      <c r="CH563" s="66"/>
      <c r="CI563" s="54"/>
      <c r="CJ563" s="54"/>
      <c r="CK563" s="67"/>
      <c r="CL563" s="78"/>
      <c r="CM563" s="70"/>
      <c r="CN563" s="229"/>
      <c r="CO563" s="229"/>
      <c r="CP563" s="229"/>
      <c r="CQ563" s="229"/>
      <c r="CR563" s="229"/>
      <c r="CS563" s="229"/>
      <c r="CT563" s="229"/>
      <c r="CU563" s="229"/>
      <c r="CV563" s="229"/>
      <c r="CW563" s="229"/>
    </row>
    <row r="564" ht="15.75" hidden="1" customHeight="1">
      <c r="CD564" s="64"/>
      <c r="CE564" s="65"/>
      <c r="CF564" s="62"/>
      <c r="CG564" s="62"/>
      <c r="CH564" s="66"/>
      <c r="CI564" s="54"/>
      <c r="CJ564" s="54"/>
      <c r="CK564" s="67"/>
      <c r="CL564" s="78"/>
      <c r="CM564" s="70"/>
      <c r="CN564" s="229"/>
      <c r="CO564" s="229"/>
      <c r="CP564" s="229"/>
      <c r="CQ564" s="229"/>
      <c r="CR564" s="229"/>
      <c r="CS564" s="229"/>
      <c r="CT564" s="229"/>
      <c r="CU564" s="229"/>
      <c r="CV564" s="229"/>
      <c r="CW564" s="229"/>
    </row>
    <row r="565" ht="15.75" hidden="1" customHeight="1">
      <c r="CD565" s="64"/>
      <c r="CE565" s="65"/>
      <c r="CF565" s="62"/>
      <c r="CG565" s="62"/>
      <c r="CH565" s="66"/>
      <c r="CI565" s="54"/>
      <c r="CJ565" s="54"/>
      <c r="CK565" s="67"/>
      <c r="CL565" s="78"/>
      <c r="CM565" s="70"/>
      <c r="CN565" s="229"/>
      <c r="CO565" s="229"/>
      <c r="CP565" s="229"/>
      <c r="CQ565" s="229"/>
      <c r="CR565" s="229"/>
      <c r="CS565" s="229"/>
      <c r="CT565" s="229"/>
      <c r="CU565" s="229"/>
      <c r="CV565" s="229"/>
      <c r="CW565" s="229"/>
    </row>
    <row r="566" ht="15.75" hidden="1" customHeight="1">
      <c r="CD566" s="64"/>
      <c r="CE566" s="65"/>
      <c r="CF566" s="62"/>
      <c r="CG566" s="62"/>
      <c r="CH566" s="66"/>
      <c r="CI566" s="54"/>
      <c r="CJ566" s="54"/>
      <c r="CK566" s="67"/>
      <c r="CL566" s="78"/>
      <c r="CM566" s="70"/>
      <c r="CN566" s="229"/>
      <c r="CO566" s="229"/>
      <c r="CP566" s="229"/>
      <c r="CQ566" s="229"/>
      <c r="CR566" s="229"/>
      <c r="CS566" s="229"/>
      <c r="CT566" s="229"/>
      <c r="CU566" s="229"/>
      <c r="CV566" s="229"/>
      <c r="CW566" s="229"/>
    </row>
    <row r="567" ht="15.75" hidden="1" customHeight="1">
      <c r="CD567" s="64"/>
      <c r="CE567" s="65"/>
      <c r="CF567" s="62"/>
      <c r="CG567" s="62"/>
      <c r="CH567" s="66"/>
      <c r="CI567" s="54"/>
      <c r="CJ567" s="54"/>
      <c r="CK567" s="67"/>
      <c r="CL567" s="78"/>
      <c r="CM567" s="70"/>
      <c r="CN567" s="229"/>
      <c r="CO567" s="229"/>
      <c r="CP567" s="229"/>
      <c r="CQ567" s="229"/>
      <c r="CR567" s="229"/>
      <c r="CS567" s="229"/>
      <c r="CT567" s="229"/>
      <c r="CU567" s="229"/>
      <c r="CV567" s="229"/>
      <c r="CW567" s="229"/>
    </row>
    <row r="568" ht="15.75" hidden="1" customHeight="1">
      <c r="CD568" s="64"/>
      <c r="CE568" s="65"/>
      <c r="CF568" s="62"/>
      <c r="CG568" s="62"/>
      <c r="CH568" s="66"/>
      <c r="CI568" s="54"/>
      <c r="CJ568" s="54"/>
      <c r="CK568" s="67"/>
      <c r="CL568" s="78"/>
      <c r="CM568" s="70"/>
      <c r="CN568" s="229"/>
      <c r="CO568" s="229"/>
      <c r="CP568" s="229"/>
      <c r="CQ568" s="229"/>
      <c r="CR568" s="229"/>
      <c r="CS568" s="229"/>
      <c r="CT568" s="229"/>
      <c r="CU568" s="229"/>
      <c r="CV568" s="229"/>
      <c r="CW568" s="229"/>
    </row>
    <row r="569" ht="15.75" hidden="1" customHeight="1">
      <c r="CD569" s="64"/>
      <c r="CE569" s="65"/>
      <c r="CF569" s="62"/>
      <c r="CG569" s="62"/>
      <c r="CH569" s="66"/>
      <c r="CI569" s="54"/>
      <c r="CJ569" s="54"/>
      <c r="CK569" s="67"/>
      <c r="CL569" s="78"/>
      <c r="CM569" s="70"/>
      <c r="CN569" s="229"/>
      <c r="CO569" s="229"/>
      <c r="CP569" s="229"/>
      <c r="CQ569" s="229"/>
      <c r="CR569" s="229"/>
      <c r="CS569" s="229"/>
      <c r="CT569" s="229"/>
      <c r="CU569" s="229"/>
      <c r="CV569" s="229"/>
      <c r="CW569" s="229"/>
    </row>
    <row r="570" ht="15.75" hidden="1" customHeight="1">
      <c r="CD570" s="64"/>
      <c r="CE570" s="65"/>
      <c r="CF570" s="62"/>
      <c r="CG570" s="62"/>
      <c r="CH570" s="66"/>
      <c r="CI570" s="54"/>
      <c r="CJ570" s="54"/>
      <c r="CK570" s="67"/>
      <c r="CL570" s="78"/>
      <c r="CM570" s="70"/>
      <c r="CN570" s="229"/>
      <c r="CO570" s="229"/>
      <c r="CP570" s="229"/>
      <c r="CQ570" s="229"/>
      <c r="CR570" s="229"/>
      <c r="CS570" s="229"/>
      <c r="CT570" s="229"/>
      <c r="CU570" s="229"/>
      <c r="CV570" s="229"/>
      <c r="CW570" s="229"/>
    </row>
    <row r="571" ht="15.75" hidden="1" customHeight="1">
      <c r="CD571" s="86"/>
      <c r="CE571" s="87"/>
      <c r="CF571" s="62"/>
      <c r="CG571" s="62"/>
      <c r="CH571" s="88"/>
      <c r="CI571" s="89"/>
      <c r="CJ571" s="89"/>
      <c r="CK571" s="90"/>
      <c r="CL571" s="91"/>
      <c r="CM571" s="92"/>
      <c r="CN571" s="229"/>
      <c r="CO571" s="229"/>
      <c r="CP571" s="229"/>
      <c r="CQ571" s="229"/>
      <c r="CR571" s="229"/>
      <c r="CS571" s="229"/>
      <c r="CT571" s="229"/>
      <c r="CU571" s="229"/>
      <c r="CV571" s="229"/>
      <c r="CW571" s="229"/>
    </row>
    <row r="572" ht="15.75" hidden="1" customHeight="1">
      <c r="CD572" s="64"/>
      <c r="CE572" s="65"/>
      <c r="CF572" s="62"/>
      <c r="CG572" s="62"/>
      <c r="CH572" s="66"/>
      <c r="CI572" s="54"/>
      <c r="CJ572" s="54"/>
      <c r="CK572" s="67"/>
      <c r="CL572" s="78"/>
      <c r="CM572" s="70"/>
      <c r="CN572" s="229"/>
      <c r="CO572" s="229"/>
      <c r="CP572" s="229"/>
      <c r="CQ572" s="229"/>
      <c r="CR572" s="229"/>
      <c r="CS572" s="229"/>
      <c r="CT572" s="229"/>
      <c r="CU572" s="229"/>
      <c r="CV572" s="229"/>
      <c r="CW572" s="229"/>
    </row>
    <row r="573" ht="15.75" hidden="1" customHeight="1">
      <c r="CD573" s="64"/>
      <c r="CE573" s="65"/>
      <c r="CF573" s="62"/>
      <c r="CG573" s="62"/>
      <c r="CH573" s="66"/>
      <c r="CI573" s="54"/>
      <c r="CJ573" s="54"/>
      <c r="CK573" s="67"/>
      <c r="CL573" s="78"/>
      <c r="CM573" s="70"/>
      <c r="CN573" s="229"/>
      <c r="CO573" s="229"/>
      <c r="CP573" s="229"/>
      <c r="CQ573" s="229"/>
      <c r="CR573" s="229"/>
      <c r="CS573" s="229"/>
      <c r="CT573" s="229"/>
      <c r="CU573" s="229"/>
      <c r="CV573" s="229"/>
      <c r="CW573" s="229"/>
    </row>
    <row r="574" ht="15.75" hidden="1" customHeight="1">
      <c r="CD574" s="64"/>
      <c r="CE574" s="65"/>
      <c r="CF574" s="62"/>
      <c r="CG574" s="62"/>
      <c r="CH574" s="66"/>
      <c r="CI574" s="54"/>
      <c r="CJ574" s="54"/>
      <c r="CK574" s="67"/>
      <c r="CL574" s="78"/>
      <c r="CM574" s="70"/>
      <c r="CN574" s="229"/>
      <c r="CO574" s="229"/>
      <c r="CP574" s="229"/>
      <c r="CQ574" s="229"/>
      <c r="CR574" s="229"/>
      <c r="CS574" s="229"/>
      <c r="CT574" s="229"/>
      <c r="CU574" s="229"/>
      <c r="CV574" s="229"/>
      <c r="CW574" s="229"/>
    </row>
    <row r="575" ht="15.75" hidden="1" customHeight="1">
      <c r="CD575" s="64"/>
      <c r="CE575" s="65"/>
      <c r="CF575" s="62"/>
      <c r="CG575" s="62"/>
      <c r="CH575" s="66"/>
      <c r="CI575" s="54"/>
      <c r="CJ575" s="54"/>
      <c r="CK575" s="67"/>
      <c r="CL575" s="78"/>
      <c r="CM575" s="70"/>
      <c r="CN575" s="229"/>
      <c r="CO575" s="229"/>
      <c r="CP575" s="229"/>
      <c r="CQ575" s="229"/>
      <c r="CR575" s="229"/>
      <c r="CS575" s="229"/>
      <c r="CT575" s="229"/>
      <c r="CU575" s="229"/>
      <c r="CV575" s="229"/>
      <c r="CW575" s="229"/>
    </row>
    <row r="576" ht="15.75" hidden="1" customHeight="1">
      <c r="CD576" s="64"/>
      <c r="CE576" s="65"/>
      <c r="CF576" s="62"/>
      <c r="CG576" s="62"/>
      <c r="CH576" s="66"/>
      <c r="CI576" s="54"/>
      <c r="CJ576" s="54"/>
      <c r="CK576" s="67"/>
      <c r="CL576" s="78"/>
      <c r="CM576" s="70"/>
      <c r="CN576" s="229"/>
      <c r="CO576" s="229"/>
      <c r="CP576" s="229"/>
      <c r="CQ576" s="229"/>
      <c r="CR576" s="229"/>
      <c r="CS576" s="229"/>
      <c r="CT576" s="229"/>
      <c r="CU576" s="229"/>
      <c r="CV576" s="229"/>
      <c r="CW576" s="229"/>
    </row>
    <row r="577" ht="15.75" hidden="1" customHeight="1">
      <c r="CD577" s="64"/>
      <c r="CE577" s="65"/>
      <c r="CF577" s="62"/>
      <c r="CG577" s="62"/>
      <c r="CH577" s="66"/>
      <c r="CI577" s="54"/>
      <c r="CJ577" s="54"/>
      <c r="CK577" s="67"/>
      <c r="CL577" s="78"/>
      <c r="CM577" s="70"/>
      <c r="CN577" s="229"/>
      <c r="CO577" s="229"/>
      <c r="CP577" s="229"/>
      <c r="CQ577" s="229"/>
      <c r="CR577" s="229"/>
      <c r="CS577" s="229"/>
      <c r="CT577" s="229"/>
      <c r="CU577" s="229"/>
      <c r="CV577" s="229"/>
      <c r="CW577" s="229"/>
    </row>
    <row r="578" ht="15.75" hidden="1" customHeight="1">
      <c r="CD578" s="64"/>
      <c r="CE578" s="65"/>
      <c r="CF578" s="62"/>
      <c r="CG578" s="62"/>
      <c r="CH578" s="66"/>
      <c r="CI578" s="54"/>
      <c r="CJ578" s="54"/>
      <c r="CK578" s="67"/>
      <c r="CL578" s="78"/>
      <c r="CM578" s="70"/>
      <c r="CN578" s="229"/>
      <c r="CO578" s="229"/>
      <c r="CP578" s="229"/>
      <c r="CQ578" s="229"/>
      <c r="CR578" s="229"/>
      <c r="CS578" s="229"/>
      <c r="CT578" s="229"/>
      <c r="CU578" s="229"/>
      <c r="CV578" s="229"/>
      <c r="CW578" s="229"/>
    </row>
    <row r="579" ht="15.75" hidden="1" customHeight="1">
      <c r="CD579" s="64"/>
      <c r="CE579" s="65"/>
      <c r="CF579" s="62"/>
      <c r="CG579" s="62"/>
      <c r="CH579" s="66"/>
      <c r="CI579" s="54"/>
      <c r="CJ579" s="54"/>
      <c r="CK579" s="67"/>
      <c r="CL579" s="78"/>
      <c r="CM579" s="70"/>
      <c r="CN579" s="229"/>
      <c r="CO579" s="229"/>
      <c r="CP579" s="229"/>
      <c r="CQ579" s="229"/>
      <c r="CR579" s="229"/>
      <c r="CS579" s="229"/>
      <c r="CT579" s="229"/>
      <c r="CU579" s="229"/>
      <c r="CV579" s="229"/>
      <c r="CW579" s="229"/>
    </row>
    <row r="580" ht="15.75" hidden="1" customHeight="1">
      <c r="CD580" s="64"/>
      <c r="CE580" s="65"/>
      <c r="CF580" s="62"/>
      <c r="CG580" s="62"/>
      <c r="CH580" s="66"/>
      <c r="CI580" s="54"/>
      <c r="CJ580" s="54"/>
      <c r="CK580" s="67"/>
      <c r="CL580" s="78"/>
      <c r="CM580" s="70"/>
      <c r="CN580" s="229"/>
      <c r="CO580" s="229"/>
      <c r="CP580" s="229"/>
      <c r="CQ580" s="229"/>
      <c r="CR580" s="229"/>
      <c r="CS580" s="229"/>
      <c r="CT580" s="229"/>
      <c r="CU580" s="229"/>
      <c r="CV580" s="229"/>
      <c r="CW580" s="229"/>
    </row>
    <row r="581" ht="15.75" hidden="1" customHeight="1">
      <c r="CD581" s="64"/>
      <c r="CE581" s="65"/>
      <c r="CF581" s="62"/>
      <c r="CG581" s="62"/>
      <c r="CH581" s="66"/>
      <c r="CI581" s="54"/>
      <c r="CJ581" s="54"/>
      <c r="CK581" s="67"/>
      <c r="CL581" s="78"/>
      <c r="CM581" s="70"/>
      <c r="CN581" s="229"/>
      <c r="CO581" s="229"/>
      <c r="CP581" s="229"/>
      <c r="CQ581" s="229"/>
      <c r="CR581" s="229"/>
      <c r="CS581" s="229"/>
      <c r="CT581" s="229"/>
      <c r="CU581" s="229"/>
      <c r="CV581" s="229"/>
      <c r="CW581" s="229"/>
    </row>
    <row r="582" ht="15.75" hidden="1" customHeight="1">
      <c r="CD582" s="64"/>
      <c r="CE582" s="65"/>
      <c r="CF582" s="62"/>
      <c r="CG582" s="62"/>
      <c r="CH582" s="66"/>
      <c r="CI582" s="54"/>
      <c r="CJ582" s="54"/>
      <c r="CK582" s="67"/>
      <c r="CL582" s="78"/>
      <c r="CM582" s="70"/>
      <c r="CN582" s="229"/>
      <c r="CO582" s="229"/>
      <c r="CP582" s="229"/>
      <c r="CQ582" s="229"/>
      <c r="CR582" s="229"/>
      <c r="CS582" s="229"/>
      <c r="CT582" s="229"/>
      <c r="CU582" s="229"/>
      <c r="CV582" s="229"/>
      <c r="CW582" s="229"/>
    </row>
    <row r="583" ht="15.75" hidden="1" customHeight="1">
      <c r="CD583" s="64"/>
      <c r="CE583" s="65"/>
      <c r="CF583" s="62"/>
      <c r="CG583" s="62"/>
      <c r="CH583" s="66"/>
      <c r="CI583" s="54"/>
      <c r="CJ583" s="54"/>
      <c r="CK583" s="67"/>
      <c r="CL583" s="78"/>
      <c r="CM583" s="70"/>
      <c r="CN583" s="229"/>
      <c r="CO583" s="229"/>
      <c r="CP583" s="229"/>
      <c r="CQ583" s="229"/>
      <c r="CR583" s="229"/>
      <c r="CS583" s="229"/>
      <c r="CT583" s="229"/>
      <c r="CU583" s="229"/>
      <c r="CV583" s="229"/>
      <c r="CW583" s="229"/>
    </row>
    <row r="584" ht="15.75" hidden="1" customHeight="1">
      <c r="CD584" s="64"/>
      <c r="CE584" s="65"/>
      <c r="CF584" s="62"/>
      <c r="CG584" s="62"/>
      <c r="CH584" s="66"/>
      <c r="CI584" s="54"/>
      <c r="CJ584" s="54"/>
      <c r="CK584" s="67"/>
      <c r="CL584" s="78"/>
      <c r="CM584" s="70"/>
      <c r="CN584" s="229"/>
      <c r="CO584" s="229"/>
      <c r="CP584" s="229"/>
      <c r="CQ584" s="229"/>
      <c r="CR584" s="229"/>
      <c r="CS584" s="229"/>
      <c r="CT584" s="229"/>
      <c r="CU584" s="229"/>
      <c r="CV584" s="229"/>
      <c r="CW584" s="229"/>
    </row>
    <row r="585" ht="15.75" hidden="1" customHeight="1">
      <c r="CD585" s="64"/>
      <c r="CE585" s="65"/>
      <c r="CF585" s="62"/>
      <c r="CG585" s="62"/>
      <c r="CH585" s="66"/>
      <c r="CI585" s="54"/>
      <c r="CJ585" s="54"/>
      <c r="CK585" s="67"/>
      <c r="CL585" s="78"/>
      <c r="CM585" s="70"/>
      <c r="CN585" s="229"/>
      <c r="CO585" s="229"/>
      <c r="CP585" s="229"/>
      <c r="CQ585" s="229"/>
      <c r="CR585" s="229"/>
      <c r="CS585" s="229"/>
      <c r="CT585" s="229"/>
      <c r="CU585" s="229"/>
      <c r="CV585" s="229"/>
      <c r="CW585" s="229"/>
    </row>
    <row r="586" ht="15.75" hidden="1" customHeight="1">
      <c r="CD586" s="64"/>
      <c r="CE586" s="65"/>
      <c r="CF586" s="62"/>
      <c r="CG586" s="62"/>
      <c r="CH586" s="66"/>
      <c r="CI586" s="54"/>
      <c r="CJ586" s="54"/>
      <c r="CK586" s="67"/>
      <c r="CL586" s="78"/>
      <c r="CM586" s="70"/>
      <c r="CN586" s="229"/>
      <c r="CO586" s="229"/>
      <c r="CP586" s="229"/>
      <c r="CQ586" s="229"/>
      <c r="CR586" s="229"/>
      <c r="CS586" s="229"/>
      <c r="CT586" s="229"/>
      <c r="CU586" s="229"/>
      <c r="CV586" s="229"/>
      <c r="CW586" s="229"/>
    </row>
    <row r="587" ht="15.75" hidden="1" customHeight="1">
      <c r="CD587" s="64"/>
      <c r="CE587" s="65"/>
      <c r="CF587" s="62"/>
      <c r="CG587" s="62"/>
      <c r="CH587" s="66"/>
      <c r="CI587" s="54"/>
      <c r="CJ587" s="54"/>
      <c r="CK587" s="67"/>
      <c r="CL587" s="78"/>
      <c r="CM587" s="70"/>
      <c r="CN587" s="229"/>
      <c r="CO587" s="229"/>
      <c r="CP587" s="229"/>
      <c r="CQ587" s="229"/>
      <c r="CR587" s="229"/>
      <c r="CS587" s="229"/>
      <c r="CT587" s="229"/>
      <c r="CU587" s="229"/>
      <c r="CV587" s="229"/>
      <c r="CW587" s="229"/>
    </row>
    <row r="588" ht="15.75" hidden="1" customHeight="1">
      <c r="CD588" s="64"/>
      <c r="CE588" s="65"/>
      <c r="CF588" s="62"/>
      <c r="CG588" s="62"/>
      <c r="CH588" s="66"/>
      <c r="CI588" s="54"/>
      <c r="CJ588" s="54"/>
      <c r="CK588" s="67"/>
      <c r="CL588" s="78"/>
      <c r="CM588" s="70"/>
      <c r="CN588" s="229"/>
      <c r="CO588" s="229"/>
      <c r="CP588" s="229"/>
      <c r="CQ588" s="229"/>
      <c r="CR588" s="229"/>
      <c r="CS588" s="229"/>
      <c r="CT588" s="229"/>
      <c r="CU588" s="229"/>
      <c r="CV588" s="229"/>
      <c r="CW588" s="229"/>
    </row>
    <row r="589" ht="15.75" hidden="1" customHeight="1">
      <c r="CD589" s="64"/>
      <c r="CE589" s="65"/>
      <c r="CF589" s="62"/>
      <c r="CG589" s="62"/>
      <c r="CH589" s="66"/>
      <c r="CI589" s="54"/>
      <c r="CJ589" s="54"/>
      <c r="CK589" s="67"/>
      <c r="CL589" s="78"/>
      <c r="CM589" s="70"/>
      <c r="CN589" s="229"/>
      <c r="CO589" s="229"/>
      <c r="CP589" s="229"/>
      <c r="CQ589" s="229"/>
      <c r="CR589" s="229"/>
      <c r="CS589" s="229"/>
      <c r="CT589" s="229"/>
      <c r="CU589" s="229"/>
      <c r="CV589" s="229"/>
      <c r="CW589" s="229"/>
    </row>
    <row r="590" ht="15.75" hidden="1" customHeight="1">
      <c r="CD590" s="64"/>
      <c r="CE590" s="65"/>
      <c r="CF590" s="62"/>
      <c r="CG590" s="62"/>
      <c r="CH590" s="66"/>
      <c r="CI590" s="54"/>
      <c r="CJ590" s="54"/>
      <c r="CK590" s="67"/>
      <c r="CL590" s="78"/>
      <c r="CM590" s="70"/>
      <c r="CN590" s="229"/>
      <c r="CO590" s="229"/>
      <c r="CP590" s="229"/>
      <c r="CQ590" s="229"/>
      <c r="CR590" s="229"/>
      <c r="CS590" s="229"/>
      <c r="CT590" s="229"/>
      <c r="CU590" s="229"/>
      <c r="CV590" s="229"/>
      <c r="CW590" s="229"/>
    </row>
    <row r="591" ht="15.75" hidden="1" customHeight="1">
      <c r="CD591" s="64"/>
      <c r="CE591" s="65"/>
      <c r="CF591" s="62"/>
      <c r="CG591" s="62"/>
      <c r="CH591" s="66"/>
      <c r="CI591" s="54"/>
      <c r="CJ591" s="54"/>
      <c r="CK591" s="67"/>
      <c r="CL591" s="78"/>
      <c r="CM591" s="70"/>
      <c r="CN591" s="229"/>
      <c r="CO591" s="229"/>
      <c r="CP591" s="229"/>
      <c r="CQ591" s="229"/>
      <c r="CR591" s="229"/>
      <c r="CS591" s="229"/>
      <c r="CT591" s="229"/>
      <c r="CU591" s="229"/>
      <c r="CV591" s="229"/>
      <c r="CW591" s="229"/>
    </row>
    <row r="592" ht="15.75" hidden="1" customHeight="1">
      <c r="CD592" s="64"/>
      <c r="CE592" s="65"/>
      <c r="CF592" s="62"/>
      <c r="CG592" s="62"/>
      <c r="CH592" s="66"/>
      <c r="CI592" s="54"/>
      <c r="CJ592" s="54"/>
      <c r="CK592" s="67"/>
      <c r="CL592" s="78"/>
      <c r="CM592" s="70"/>
      <c r="CN592" s="229"/>
      <c r="CO592" s="229"/>
      <c r="CP592" s="229"/>
      <c r="CQ592" s="229"/>
      <c r="CR592" s="229"/>
      <c r="CS592" s="229"/>
      <c r="CT592" s="229"/>
      <c r="CU592" s="229"/>
      <c r="CV592" s="229"/>
      <c r="CW592" s="229"/>
    </row>
    <row r="593" ht="15.75" hidden="1" customHeight="1">
      <c r="CD593" s="64"/>
      <c r="CE593" s="65"/>
      <c r="CF593" s="62"/>
      <c r="CG593" s="62"/>
      <c r="CH593" s="66"/>
      <c r="CI593" s="54"/>
      <c r="CJ593" s="54"/>
      <c r="CK593" s="67"/>
      <c r="CL593" s="78"/>
      <c r="CM593" s="70"/>
      <c r="CN593" s="229"/>
      <c r="CO593" s="229"/>
      <c r="CP593" s="229"/>
      <c r="CQ593" s="229"/>
      <c r="CR593" s="229"/>
      <c r="CS593" s="229"/>
      <c r="CT593" s="229"/>
      <c r="CU593" s="229"/>
      <c r="CV593" s="229"/>
      <c r="CW593" s="229"/>
    </row>
    <row r="594" ht="15.75" hidden="1" customHeight="1">
      <c r="CD594" s="64"/>
      <c r="CE594" s="65"/>
      <c r="CF594" s="62"/>
      <c r="CG594" s="62"/>
      <c r="CH594" s="66"/>
      <c r="CI594" s="54"/>
      <c r="CJ594" s="54"/>
      <c r="CK594" s="67"/>
      <c r="CL594" s="78"/>
      <c r="CM594" s="70"/>
      <c r="CN594" s="229"/>
      <c r="CO594" s="229"/>
      <c r="CP594" s="229"/>
      <c r="CQ594" s="229"/>
      <c r="CR594" s="229"/>
      <c r="CS594" s="229"/>
      <c r="CT594" s="229"/>
      <c r="CU594" s="229"/>
      <c r="CV594" s="229"/>
      <c r="CW594" s="229"/>
    </row>
    <row r="595" ht="15.75" hidden="1" customHeight="1">
      <c r="CD595" s="86"/>
      <c r="CE595" s="87"/>
      <c r="CF595" s="62"/>
      <c r="CG595" s="62"/>
      <c r="CH595" s="88"/>
      <c r="CI595" s="89"/>
      <c r="CJ595" s="89"/>
      <c r="CK595" s="90"/>
      <c r="CL595" s="91"/>
      <c r="CM595" s="92"/>
      <c r="CN595" s="229"/>
      <c r="CO595" s="229"/>
      <c r="CP595" s="229"/>
      <c r="CQ595" s="229"/>
      <c r="CR595" s="229"/>
      <c r="CS595" s="229"/>
      <c r="CT595" s="229"/>
      <c r="CU595" s="229"/>
      <c r="CV595" s="229"/>
      <c r="CW595" s="229"/>
    </row>
    <row r="596" ht="15.75" hidden="1" customHeight="1">
      <c r="CD596" s="64"/>
      <c r="CE596" s="65"/>
      <c r="CF596" s="62"/>
      <c r="CG596" s="62"/>
      <c r="CH596" s="66"/>
      <c r="CI596" s="54"/>
      <c r="CJ596" s="54"/>
      <c r="CK596" s="67"/>
      <c r="CL596" s="78"/>
      <c r="CM596" s="70"/>
      <c r="CN596" s="229"/>
      <c r="CO596" s="229"/>
      <c r="CP596" s="229"/>
      <c r="CQ596" s="229"/>
      <c r="CR596" s="229"/>
      <c r="CS596" s="229"/>
      <c r="CT596" s="229"/>
      <c r="CU596" s="229"/>
      <c r="CV596" s="229"/>
      <c r="CW596" s="229"/>
    </row>
    <row r="597" ht="15.75" hidden="1" customHeight="1">
      <c r="CD597" s="64"/>
      <c r="CE597" s="65"/>
      <c r="CF597" s="62"/>
      <c r="CG597" s="62"/>
      <c r="CH597" s="66"/>
      <c r="CI597" s="54"/>
      <c r="CJ597" s="54"/>
      <c r="CK597" s="67"/>
      <c r="CL597" s="78"/>
      <c r="CM597" s="70"/>
      <c r="CN597" s="229"/>
      <c r="CO597" s="229"/>
      <c r="CP597" s="229"/>
      <c r="CQ597" s="229"/>
      <c r="CR597" s="229"/>
      <c r="CS597" s="229"/>
      <c r="CT597" s="229"/>
      <c r="CU597" s="229"/>
      <c r="CV597" s="229"/>
      <c r="CW597" s="229"/>
    </row>
    <row r="598" ht="15.75" hidden="1" customHeight="1">
      <c r="CD598" s="64"/>
      <c r="CE598" s="65"/>
      <c r="CF598" s="62"/>
      <c r="CG598" s="62"/>
      <c r="CH598" s="66"/>
      <c r="CI598" s="54"/>
      <c r="CJ598" s="54"/>
      <c r="CK598" s="67"/>
      <c r="CL598" s="78"/>
      <c r="CM598" s="70"/>
      <c r="CN598" s="229"/>
      <c r="CO598" s="229"/>
      <c r="CP598" s="229"/>
      <c r="CQ598" s="229"/>
      <c r="CR598" s="229"/>
      <c r="CS598" s="229"/>
      <c r="CT598" s="229"/>
      <c r="CU598" s="229"/>
      <c r="CV598" s="229"/>
      <c r="CW598" s="229"/>
    </row>
    <row r="599" ht="15.75" hidden="1" customHeight="1">
      <c r="CD599" s="64"/>
      <c r="CE599" s="65"/>
      <c r="CF599" s="62"/>
      <c r="CG599" s="62"/>
      <c r="CH599" s="66"/>
      <c r="CI599" s="54"/>
      <c r="CJ599" s="54"/>
      <c r="CK599" s="67"/>
      <c r="CL599" s="78"/>
      <c r="CM599" s="70"/>
      <c r="CN599" s="229"/>
      <c r="CO599" s="229"/>
      <c r="CP599" s="229"/>
      <c r="CQ599" s="229"/>
      <c r="CR599" s="229"/>
      <c r="CS599" s="229"/>
      <c r="CT599" s="229"/>
      <c r="CU599" s="229"/>
      <c r="CV599" s="229"/>
      <c r="CW599" s="229"/>
    </row>
    <row r="600" ht="15.75" hidden="1" customHeight="1">
      <c r="CD600" s="64"/>
      <c r="CE600" s="65"/>
      <c r="CF600" s="62"/>
      <c r="CG600" s="62"/>
      <c r="CH600" s="66"/>
      <c r="CI600" s="54"/>
      <c r="CJ600" s="54"/>
      <c r="CK600" s="67"/>
      <c r="CL600" s="78"/>
      <c r="CM600" s="70"/>
      <c r="CN600" s="229"/>
      <c r="CO600" s="229"/>
      <c r="CP600" s="229"/>
      <c r="CQ600" s="229"/>
      <c r="CR600" s="229"/>
      <c r="CS600" s="229"/>
      <c r="CT600" s="229"/>
      <c r="CU600" s="229"/>
      <c r="CV600" s="229"/>
      <c r="CW600" s="229"/>
    </row>
    <row r="601" ht="15.75" hidden="1" customHeight="1">
      <c r="CD601" s="64"/>
      <c r="CE601" s="65"/>
      <c r="CF601" s="62"/>
      <c r="CG601" s="62"/>
      <c r="CH601" s="66"/>
      <c r="CI601" s="54"/>
      <c r="CJ601" s="54"/>
      <c r="CK601" s="67"/>
      <c r="CL601" s="78"/>
      <c r="CM601" s="70"/>
      <c r="CN601" s="229"/>
      <c r="CO601" s="229"/>
      <c r="CP601" s="229"/>
      <c r="CQ601" s="229"/>
      <c r="CR601" s="229"/>
      <c r="CS601" s="229"/>
      <c r="CT601" s="229"/>
      <c r="CU601" s="229"/>
      <c r="CV601" s="229"/>
      <c r="CW601" s="229"/>
    </row>
    <row r="602" ht="15.75" hidden="1" customHeight="1">
      <c r="CD602" s="64"/>
      <c r="CE602" s="65"/>
      <c r="CF602" s="62"/>
      <c r="CG602" s="62"/>
      <c r="CH602" s="66"/>
      <c r="CI602" s="54"/>
      <c r="CJ602" s="54"/>
      <c r="CK602" s="67"/>
      <c r="CL602" s="78"/>
      <c r="CM602" s="70"/>
      <c r="CN602" s="229"/>
      <c r="CO602" s="229"/>
      <c r="CP602" s="229"/>
      <c r="CQ602" s="229"/>
      <c r="CR602" s="229"/>
      <c r="CS602" s="229"/>
      <c r="CT602" s="229"/>
      <c r="CU602" s="229"/>
      <c r="CV602" s="229"/>
      <c r="CW602" s="229"/>
    </row>
    <row r="603" ht="15.75" hidden="1" customHeight="1">
      <c r="CD603" s="64"/>
      <c r="CE603" s="65"/>
      <c r="CF603" s="62"/>
      <c r="CG603" s="62"/>
      <c r="CH603" s="66"/>
      <c r="CI603" s="54"/>
      <c r="CJ603" s="54"/>
      <c r="CK603" s="67"/>
      <c r="CL603" s="78"/>
      <c r="CM603" s="70"/>
      <c r="CN603" s="229"/>
      <c r="CO603" s="229"/>
      <c r="CP603" s="229"/>
      <c r="CQ603" s="229"/>
      <c r="CR603" s="229"/>
      <c r="CS603" s="229"/>
      <c r="CT603" s="229"/>
      <c r="CU603" s="229"/>
      <c r="CV603" s="229"/>
      <c r="CW603" s="229"/>
    </row>
    <row r="604" ht="15.75" hidden="1" customHeight="1">
      <c r="CD604" s="64"/>
      <c r="CE604" s="65"/>
      <c r="CF604" s="62"/>
      <c r="CG604" s="62"/>
      <c r="CH604" s="66"/>
      <c r="CI604" s="54"/>
      <c r="CJ604" s="54"/>
      <c r="CK604" s="67"/>
      <c r="CL604" s="78"/>
      <c r="CM604" s="70"/>
      <c r="CN604" s="229"/>
      <c r="CO604" s="229"/>
      <c r="CP604" s="229"/>
      <c r="CQ604" s="229"/>
      <c r="CR604" s="229"/>
      <c r="CS604" s="229"/>
      <c r="CT604" s="229"/>
      <c r="CU604" s="229"/>
      <c r="CV604" s="229"/>
      <c r="CW604" s="229"/>
    </row>
    <row r="605" ht="15.75" hidden="1" customHeight="1">
      <c r="CD605" s="64"/>
      <c r="CE605" s="65"/>
      <c r="CF605" s="62"/>
      <c r="CG605" s="62"/>
      <c r="CH605" s="66"/>
      <c r="CI605" s="54"/>
      <c r="CJ605" s="54"/>
      <c r="CK605" s="67"/>
      <c r="CL605" s="78"/>
      <c r="CM605" s="70"/>
      <c r="CN605" s="229"/>
      <c r="CO605" s="229"/>
      <c r="CP605" s="229"/>
      <c r="CQ605" s="229"/>
      <c r="CR605" s="229"/>
      <c r="CS605" s="229"/>
      <c r="CT605" s="229"/>
      <c r="CU605" s="229"/>
      <c r="CV605" s="229"/>
      <c r="CW605" s="229"/>
    </row>
    <row r="606" ht="15.75" hidden="1" customHeight="1">
      <c r="CD606" s="64"/>
      <c r="CE606" s="65"/>
      <c r="CF606" s="62"/>
      <c r="CG606" s="62"/>
      <c r="CH606" s="66"/>
      <c r="CI606" s="54"/>
      <c r="CJ606" s="54"/>
      <c r="CK606" s="67"/>
      <c r="CL606" s="78"/>
      <c r="CM606" s="70"/>
      <c r="CN606" s="229"/>
      <c r="CO606" s="229"/>
      <c r="CP606" s="229"/>
      <c r="CQ606" s="229"/>
      <c r="CR606" s="229"/>
      <c r="CS606" s="229"/>
      <c r="CT606" s="229"/>
      <c r="CU606" s="229"/>
      <c r="CV606" s="229"/>
      <c r="CW606" s="229"/>
    </row>
    <row r="607" ht="15.75" hidden="1" customHeight="1">
      <c r="CD607" s="64"/>
      <c r="CE607" s="65"/>
      <c r="CF607" s="62"/>
      <c r="CG607" s="62"/>
      <c r="CH607" s="66"/>
      <c r="CI607" s="54"/>
      <c r="CJ607" s="54"/>
      <c r="CK607" s="67"/>
      <c r="CL607" s="78"/>
      <c r="CM607" s="70"/>
      <c r="CN607" s="229"/>
      <c r="CO607" s="229"/>
      <c r="CP607" s="229"/>
      <c r="CQ607" s="229"/>
      <c r="CR607" s="229"/>
      <c r="CS607" s="229"/>
      <c r="CT607" s="229"/>
      <c r="CU607" s="229"/>
      <c r="CV607" s="229"/>
      <c r="CW607" s="229"/>
    </row>
    <row r="608" ht="15.75" hidden="1" customHeight="1">
      <c r="CD608" s="64"/>
      <c r="CE608" s="65"/>
      <c r="CF608" s="62"/>
      <c r="CG608" s="62"/>
      <c r="CH608" s="66"/>
      <c r="CI608" s="54"/>
      <c r="CJ608" s="54"/>
      <c r="CK608" s="67"/>
      <c r="CL608" s="78"/>
      <c r="CM608" s="70"/>
      <c r="CN608" s="229"/>
      <c r="CO608" s="229"/>
      <c r="CP608" s="229"/>
      <c r="CQ608" s="229"/>
      <c r="CR608" s="229"/>
      <c r="CS608" s="229"/>
      <c r="CT608" s="229"/>
      <c r="CU608" s="229"/>
      <c r="CV608" s="229"/>
      <c r="CW608" s="229"/>
    </row>
    <row r="609" ht="15.75" hidden="1" customHeight="1">
      <c r="CD609" s="64"/>
      <c r="CE609" s="65"/>
      <c r="CF609" s="62"/>
      <c r="CG609" s="62"/>
      <c r="CH609" s="66"/>
      <c r="CI609" s="54"/>
      <c r="CJ609" s="54"/>
      <c r="CK609" s="67"/>
      <c r="CL609" s="78"/>
      <c r="CM609" s="70"/>
      <c r="CN609" s="229"/>
      <c r="CO609" s="229"/>
      <c r="CP609" s="229"/>
      <c r="CQ609" s="229"/>
      <c r="CR609" s="229"/>
      <c r="CS609" s="229"/>
      <c r="CT609" s="229"/>
      <c r="CU609" s="229"/>
      <c r="CV609" s="229"/>
      <c r="CW609" s="229"/>
    </row>
    <row r="610" ht="15.75" hidden="1" customHeight="1">
      <c r="CD610" s="64"/>
      <c r="CE610" s="65"/>
      <c r="CF610" s="62"/>
      <c r="CG610" s="62"/>
      <c r="CH610" s="66"/>
      <c r="CI610" s="54"/>
      <c r="CJ610" s="54"/>
      <c r="CK610" s="67"/>
      <c r="CL610" s="78"/>
      <c r="CM610" s="70"/>
      <c r="CN610" s="229"/>
      <c r="CO610" s="229"/>
      <c r="CP610" s="229"/>
      <c r="CQ610" s="229"/>
      <c r="CR610" s="229"/>
      <c r="CS610" s="229"/>
      <c r="CT610" s="229"/>
      <c r="CU610" s="229"/>
      <c r="CV610" s="229"/>
      <c r="CW610" s="229"/>
    </row>
    <row r="611" ht="15.75" hidden="1" customHeight="1">
      <c r="CD611" s="64"/>
      <c r="CE611" s="65"/>
      <c r="CF611" s="62"/>
      <c r="CG611" s="62"/>
      <c r="CH611" s="66"/>
      <c r="CI611" s="54"/>
      <c r="CJ611" s="54"/>
      <c r="CK611" s="67"/>
      <c r="CL611" s="78"/>
      <c r="CM611" s="70"/>
      <c r="CN611" s="229"/>
      <c r="CO611" s="229"/>
      <c r="CP611" s="229"/>
      <c r="CQ611" s="229"/>
      <c r="CR611" s="229"/>
      <c r="CS611" s="229"/>
      <c r="CT611" s="229"/>
      <c r="CU611" s="229"/>
      <c r="CV611" s="229"/>
      <c r="CW611" s="229"/>
    </row>
    <row r="612" ht="15.75" hidden="1" customHeight="1">
      <c r="CD612" s="64"/>
      <c r="CE612" s="65"/>
      <c r="CF612" s="62"/>
      <c r="CG612" s="62"/>
      <c r="CH612" s="66"/>
      <c r="CI612" s="54"/>
      <c r="CJ612" s="54"/>
      <c r="CK612" s="67"/>
      <c r="CL612" s="78"/>
      <c r="CM612" s="70"/>
      <c r="CN612" s="229"/>
      <c r="CO612" s="229"/>
      <c r="CP612" s="229"/>
      <c r="CQ612" s="229"/>
      <c r="CR612" s="229"/>
      <c r="CS612" s="229"/>
      <c r="CT612" s="229"/>
      <c r="CU612" s="229"/>
      <c r="CV612" s="229"/>
      <c r="CW612" s="229"/>
    </row>
    <row r="613" ht="15.75" hidden="1" customHeight="1">
      <c r="CD613" s="64"/>
      <c r="CE613" s="65"/>
      <c r="CF613" s="62"/>
      <c r="CG613" s="62"/>
      <c r="CH613" s="66"/>
      <c r="CI613" s="54"/>
      <c r="CJ613" s="54"/>
      <c r="CK613" s="67"/>
      <c r="CL613" s="78"/>
      <c r="CM613" s="70"/>
      <c r="CN613" s="229"/>
      <c r="CO613" s="229"/>
      <c r="CP613" s="229"/>
      <c r="CQ613" s="229"/>
      <c r="CR613" s="229"/>
      <c r="CS613" s="229"/>
      <c r="CT613" s="229"/>
      <c r="CU613" s="229"/>
      <c r="CV613" s="229"/>
      <c r="CW613" s="229"/>
    </row>
    <row r="614" ht="15.75" hidden="1" customHeight="1">
      <c r="CD614" s="64"/>
      <c r="CE614" s="65"/>
      <c r="CF614" s="62"/>
      <c r="CG614" s="62"/>
      <c r="CH614" s="66"/>
      <c r="CI614" s="54"/>
      <c r="CJ614" s="54"/>
      <c r="CK614" s="67"/>
      <c r="CL614" s="78"/>
      <c r="CM614" s="70"/>
      <c r="CN614" s="229"/>
      <c r="CO614" s="229"/>
      <c r="CP614" s="229"/>
      <c r="CQ614" s="229"/>
      <c r="CR614" s="229"/>
      <c r="CS614" s="229"/>
      <c r="CT614" s="229"/>
      <c r="CU614" s="229"/>
      <c r="CV614" s="229"/>
      <c r="CW614" s="229"/>
    </row>
    <row r="615" ht="15.75" hidden="1" customHeight="1">
      <c r="CD615" s="64"/>
      <c r="CE615" s="65"/>
      <c r="CF615" s="62"/>
      <c r="CG615" s="62"/>
      <c r="CH615" s="66"/>
      <c r="CI615" s="54"/>
      <c r="CJ615" s="54"/>
      <c r="CK615" s="67"/>
      <c r="CL615" s="78"/>
      <c r="CM615" s="70"/>
      <c r="CN615" s="229"/>
      <c r="CO615" s="229"/>
      <c r="CP615" s="229"/>
      <c r="CQ615" s="229"/>
      <c r="CR615" s="229"/>
      <c r="CS615" s="229"/>
      <c r="CT615" s="229"/>
      <c r="CU615" s="229"/>
      <c r="CV615" s="229"/>
      <c r="CW615" s="229"/>
    </row>
    <row r="616" ht="15.75" hidden="1" customHeight="1">
      <c r="CD616" s="64"/>
      <c r="CE616" s="65"/>
      <c r="CF616" s="62"/>
      <c r="CG616" s="62"/>
      <c r="CH616" s="66"/>
      <c r="CI616" s="54"/>
      <c r="CJ616" s="54"/>
      <c r="CK616" s="67"/>
      <c r="CL616" s="78"/>
      <c r="CM616" s="70"/>
      <c r="CN616" s="229"/>
      <c r="CO616" s="229"/>
      <c r="CP616" s="229"/>
      <c r="CQ616" s="229"/>
      <c r="CR616" s="229"/>
      <c r="CS616" s="229"/>
      <c r="CT616" s="229"/>
      <c r="CU616" s="229"/>
      <c r="CV616" s="229"/>
      <c r="CW616" s="229"/>
    </row>
    <row r="617" ht="15.75" hidden="1" customHeight="1">
      <c r="CD617" s="64"/>
      <c r="CE617" s="65"/>
      <c r="CF617" s="62"/>
      <c r="CG617" s="62"/>
      <c r="CH617" s="66"/>
      <c r="CI617" s="54"/>
      <c r="CJ617" s="54"/>
      <c r="CK617" s="67"/>
      <c r="CL617" s="78"/>
      <c r="CM617" s="70"/>
      <c r="CN617" s="229"/>
      <c r="CO617" s="229"/>
      <c r="CP617" s="229"/>
      <c r="CQ617" s="229"/>
      <c r="CR617" s="229"/>
      <c r="CS617" s="229"/>
      <c r="CT617" s="229"/>
      <c r="CU617" s="229"/>
      <c r="CV617" s="229"/>
      <c r="CW617" s="229"/>
    </row>
    <row r="618" ht="15.75" hidden="1" customHeight="1">
      <c r="CD618" s="64"/>
      <c r="CE618" s="65"/>
      <c r="CF618" s="62"/>
      <c r="CG618" s="62"/>
      <c r="CH618" s="66"/>
      <c r="CI618" s="54"/>
      <c r="CJ618" s="54"/>
      <c r="CK618" s="67"/>
      <c r="CL618" s="78"/>
      <c r="CM618" s="70"/>
      <c r="CN618" s="229"/>
      <c r="CO618" s="229"/>
      <c r="CP618" s="229"/>
      <c r="CQ618" s="229"/>
      <c r="CR618" s="229"/>
      <c r="CS618" s="229"/>
      <c r="CT618" s="229"/>
      <c r="CU618" s="229"/>
      <c r="CV618" s="229"/>
      <c r="CW618" s="229"/>
    </row>
    <row r="619" ht="15.75" hidden="1" customHeight="1">
      <c r="CD619" s="64"/>
      <c r="CE619" s="65"/>
      <c r="CF619" s="62"/>
      <c r="CG619" s="62"/>
      <c r="CH619" s="66"/>
      <c r="CI619" s="54"/>
      <c r="CJ619" s="54"/>
      <c r="CK619" s="67"/>
      <c r="CL619" s="78"/>
      <c r="CM619" s="70"/>
      <c r="CN619" s="229"/>
      <c r="CO619" s="229"/>
      <c r="CP619" s="229"/>
      <c r="CQ619" s="229"/>
      <c r="CR619" s="229"/>
      <c r="CS619" s="229"/>
      <c r="CT619" s="229"/>
      <c r="CU619" s="229"/>
      <c r="CV619" s="229"/>
      <c r="CW619" s="229"/>
    </row>
    <row r="620" ht="15.75" hidden="1" customHeight="1">
      <c r="CD620" s="64"/>
      <c r="CE620" s="65"/>
      <c r="CF620" s="55"/>
      <c r="CG620" s="55"/>
      <c r="CH620" s="66"/>
      <c r="CI620" s="54"/>
      <c r="CJ620" s="54"/>
      <c r="CK620" s="67"/>
      <c r="CL620" s="78"/>
      <c r="CM620" s="70"/>
      <c r="CN620" s="229"/>
      <c r="CO620" s="229"/>
      <c r="CP620" s="229"/>
      <c r="CQ620" s="229"/>
      <c r="CR620" s="229"/>
      <c r="CS620" s="229"/>
      <c r="CT620" s="229"/>
      <c r="CU620" s="229"/>
      <c r="CV620" s="229"/>
      <c r="CW620" s="229"/>
    </row>
    <row r="621" ht="15.75" hidden="1" customHeight="1">
      <c r="CD621" s="45"/>
      <c r="CE621" s="46"/>
      <c r="CF621" s="46"/>
      <c r="CG621" s="46"/>
      <c r="CH621" s="46"/>
      <c r="CI621" s="46"/>
      <c r="CJ621" s="46"/>
      <c r="CK621" s="46"/>
      <c r="CL621" s="46"/>
      <c r="CM621" s="106"/>
      <c r="CN621" s="229"/>
      <c r="CO621" s="229"/>
      <c r="CP621" s="229"/>
      <c r="CQ621" s="229"/>
      <c r="CR621" s="229"/>
      <c r="CS621" s="229"/>
      <c r="CT621" s="229"/>
      <c r="CU621" s="229"/>
      <c r="CV621" s="229"/>
      <c r="CW621" s="229"/>
    </row>
    <row r="622" ht="15.75" hidden="1" customHeight="1">
      <c r="CD622" s="64"/>
      <c r="CE622" s="54"/>
      <c r="CF622" s="55"/>
      <c r="CG622" s="55"/>
      <c r="CH622" s="54"/>
      <c r="CI622" s="54"/>
      <c r="CJ622" s="54"/>
      <c r="CK622" s="16"/>
      <c r="CL622" s="55"/>
      <c r="CM622" s="70"/>
      <c r="CN622" s="229"/>
      <c r="CO622" s="229"/>
      <c r="CP622" s="229"/>
      <c r="CQ622" s="229"/>
      <c r="CR622" s="229"/>
      <c r="CS622" s="229"/>
      <c r="CT622" s="229"/>
      <c r="CU622" s="229"/>
      <c r="CV622" s="229"/>
      <c r="CW622" s="229"/>
    </row>
    <row r="623" ht="15.75" hidden="1" customHeight="1">
      <c r="CD623" s="64"/>
      <c r="CE623" s="109"/>
      <c r="CF623" s="55"/>
      <c r="CG623" s="55"/>
      <c r="CH623" s="54"/>
      <c r="CI623" s="54"/>
      <c r="CJ623" s="54"/>
      <c r="CK623" s="54"/>
      <c r="CL623" s="55"/>
      <c r="CM623" s="70"/>
      <c r="CN623" s="229"/>
      <c r="CO623" s="229"/>
      <c r="CP623" s="229"/>
      <c r="CQ623" s="229"/>
      <c r="CR623" s="229"/>
      <c r="CS623" s="229"/>
      <c r="CT623" s="229"/>
      <c r="CU623" s="229"/>
      <c r="CV623" s="229"/>
      <c r="CW623" s="229"/>
    </row>
    <row r="624" ht="15.75" hidden="1" customHeight="1">
      <c r="CD624" s="115"/>
      <c r="CE624" s="119"/>
      <c r="CF624" s="120"/>
      <c r="CG624" s="116"/>
      <c r="CH624" s="117"/>
      <c r="CI624" s="116"/>
      <c r="CJ624" s="118"/>
      <c r="CK624" s="117"/>
      <c r="CL624" s="55"/>
      <c r="CM624" s="70"/>
      <c r="CN624" s="229"/>
      <c r="CO624" s="229"/>
      <c r="CP624" s="229"/>
      <c r="CQ624" s="229"/>
      <c r="CR624" s="229"/>
      <c r="CS624" s="229"/>
      <c r="CT624" s="229"/>
      <c r="CU624" s="229"/>
      <c r="CV624" s="229"/>
      <c r="CW624" s="229"/>
    </row>
    <row r="625" ht="15.75" hidden="1" customHeight="1">
      <c r="CD625" s="127"/>
      <c r="CE625" s="128"/>
      <c r="CF625" s="126"/>
      <c r="CG625" s="128"/>
      <c r="CH625" s="126"/>
      <c r="CI625" s="129"/>
      <c r="CJ625" s="130"/>
      <c r="CK625" s="131"/>
      <c r="CL625" s="55"/>
      <c r="CM625" s="40"/>
      <c r="CN625" s="229"/>
      <c r="CO625" s="229"/>
      <c r="CP625" s="229"/>
      <c r="CQ625" s="229"/>
      <c r="CR625" s="229"/>
      <c r="CS625" s="229"/>
      <c r="CT625" s="229"/>
      <c r="CU625" s="229"/>
      <c r="CV625" s="229"/>
      <c r="CW625" s="229"/>
    </row>
    <row r="626" ht="15.75" hidden="1" customHeight="1">
      <c r="CD626" s="127"/>
      <c r="CE626" s="128"/>
      <c r="CF626" s="126"/>
      <c r="CG626" s="128"/>
      <c r="CH626" s="126"/>
      <c r="CI626" s="129"/>
      <c r="CJ626" s="130"/>
      <c r="CK626" s="131"/>
      <c r="CL626" s="55"/>
      <c r="CM626" s="40"/>
      <c r="CN626" s="229"/>
      <c r="CO626" s="229"/>
      <c r="CP626" s="229"/>
      <c r="CQ626" s="229"/>
      <c r="CR626" s="229"/>
      <c r="CS626" s="229"/>
      <c r="CT626" s="229"/>
      <c r="CU626" s="229"/>
      <c r="CV626" s="229"/>
      <c r="CW626" s="229"/>
    </row>
    <row r="627" ht="15.75" hidden="1" customHeight="1">
      <c r="CD627" s="127"/>
      <c r="CE627" s="128"/>
      <c r="CF627" s="126"/>
      <c r="CG627" s="128"/>
      <c r="CH627" s="126"/>
      <c r="CI627" s="129"/>
      <c r="CJ627" s="130"/>
      <c r="CK627" s="131"/>
      <c r="CL627" s="55"/>
      <c r="CM627" s="40"/>
      <c r="CN627" s="229"/>
      <c r="CO627" s="229"/>
      <c r="CP627" s="229"/>
      <c r="CQ627" s="229"/>
      <c r="CR627" s="229"/>
      <c r="CS627" s="229"/>
      <c r="CT627" s="229"/>
      <c r="CU627" s="229"/>
      <c r="CV627" s="229"/>
      <c r="CW627" s="229"/>
    </row>
    <row r="628" ht="15.75" hidden="1" customHeight="1">
      <c r="CD628" s="127"/>
      <c r="CE628" s="128"/>
      <c r="CF628" s="126"/>
      <c r="CG628" s="128"/>
      <c r="CH628" s="126"/>
      <c r="CI628" s="129"/>
      <c r="CJ628" s="130"/>
      <c r="CK628" s="131"/>
      <c r="CL628" s="55"/>
      <c r="CM628" s="40"/>
      <c r="CN628" s="229"/>
      <c r="CO628" s="229"/>
      <c r="CP628" s="229"/>
      <c r="CQ628" s="229"/>
      <c r="CR628" s="229"/>
      <c r="CS628" s="229"/>
      <c r="CT628" s="229"/>
      <c r="CU628" s="229"/>
      <c r="CV628" s="229"/>
      <c r="CW628" s="229"/>
    </row>
    <row r="629" ht="15.75" hidden="1" customHeight="1">
      <c r="CD629" s="143"/>
      <c r="CE629" s="128"/>
      <c r="CF629" s="126"/>
      <c r="CG629" s="128"/>
      <c r="CH629" s="126"/>
      <c r="CI629" s="129"/>
      <c r="CJ629" s="130"/>
      <c r="CK629" s="131"/>
      <c r="CL629" s="55"/>
      <c r="CM629" s="40"/>
      <c r="CN629" s="229"/>
      <c r="CO629" s="229"/>
      <c r="CP629" s="229"/>
      <c r="CQ629" s="229"/>
      <c r="CR629" s="229"/>
      <c r="CS629" s="229"/>
      <c r="CT629" s="229"/>
      <c r="CU629" s="229"/>
      <c r="CV629" s="229"/>
      <c r="CW629" s="229"/>
    </row>
    <row r="630" ht="15.75" hidden="1" customHeight="1">
      <c r="CD630" s="143"/>
      <c r="CE630" s="128"/>
      <c r="CF630" s="126"/>
      <c r="CG630" s="128"/>
      <c r="CH630" s="126"/>
      <c r="CI630" s="129"/>
      <c r="CJ630" s="130"/>
      <c r="CK630" s="131"/>
      <c r="CL630" s="55"/>
      <c r="CM630" s="40"/>
      <c r="CN630" s="229"/>
      <c r="CO630" s="229"/>
      <c r="CP630" s="229"/>
      <c r="CQ630" s="229"/>
      <c r="CR630" s="229"/>
      <c r="CS630" s="229"/>
      <c r="CT630" s="229"/>
      <c r="CU630" s="229"/>
      <c r="CV630" s="229"/>
      <c r="CW630" s="229"/>
    </row>
    <row r="631" ht="15.75" hidden="1" customHeight="1">
      <c r="CD631" s="143"/>
      <c r="CE631" s="128"/>
      <c r="CF631" s="126"/>
      <c r="CG631" s="128"/>
      <c r="CH631" s="126"/>
      <c r="CI631" s="129"/>
      <c r="CJ631" s="130"/>
      <c r="CK631" s="131"/>
      <c r="CL631" s="55"/>
      <c r="CM631" s="40"/>
      <c r="CN631" s="229"/>
      <c r="CO631" s="229"/>
      <c r="CP631" s="229"/>
      <c r="CQ631" s="229"/>
      <c r="CR631" s="229"/>
      <c r="CS631" s="229"/>
      <c r="CT631" s="229"/>
      <c r="CU631" s="229"/>
      <c r="CV631" s="229"/>
      <c r="CW631" s="229"/>
    </row>
    <row r="632" ht="15.75" hidden="1" customHeight="1">
      <c r="CD632" s="143"/>
      <c r="CE632" s="128"/>
      <c r="CF632" s="126"/>
      <c r="CG632" s="128"/>
      <c r="CH632" s="126"/>
      <c r="CI632" s="129"/>
      <c r="CJ632" s="130"/>
      <c r="CK632" s="131"/>
      <c r="CL632" s="55"/>
      <c r="CM632" s="40"/>
      <c r="CN632" s="229"/>
      <c r="CO632" s="229"/>
      <c r="CP632" s="229"/>
      <c r="CQ632" s="229"/>
      <c r="CR632" s="229"/>
      <c r="CS632" s="229"/>
      <c r="CT632" s="229"/>
      <c r="CU632" s="229"/>
      <c r="CV632" s="229"/>
      <c r="CW632" s="229"/>
    </row>
    <row r="633" ht="15.75" hidden="1" customHeight="1">
      <c r="CD633" s="145"/>
      <c r="CE633" s="128"/>
      <c r="CF633" s="126"/>
      <c r="CG633" s="128"/>
      <c r="CH633" s="126"/>
      <c r="CI633" s="129"/>
      <c r="CJ633" s="130"/>
      <c r="CK633" s="131"/>
      <c r="CL633" s="55"/>
      <c r="CM633" s="40"/>
      <c r="CN633" s="229"/>
      <c r="CO633" s="229"/>
      <c r="CP633" s="229"/>
      <c r="CQ633" s="229"/>
      <c r="CR633" s="229"/>
      <c r="CS633" s="229"/>
      <c r="CT633" s="229"/>
      <c r="CU633" s="229"/>
      <c r="CV633" s="229"/>
      <c r="CW633" s="229"/>
    </row>
    <row r="634" ht="15.75" hidden="1" customHeight="1">
      <c r="CD634" s="145"/>
      <c r="CE634" s="128"/>
      <c r="CF634" s="126"/>
      <c r="CG634" s="128"/>
      <c r="CH634" s="126"/>
      <c r="CI634" s="129"/>
      <c r="CJ634" s="130"/>
      <c r="CK634" s="131"/>
      <c r="CL634" s="55"/>
      <c r="CM634" s="40"/>
      <c r="CN634" s="229"/>
      <c r="CO634" s="229"/>
      <c r="CP634" s="229"/>
      <c r="CQ634" s="229"/>
      <c r="CR634" s="229"/>
      <c r="CS634" s="229"/>
      <c r="CT634" s="229"/>
      <c r="CU634" s="229"/>
      <c r="CV634" s="229"/>
      <c r="CW634" s="229"/>
    </row>
    <row r="635" ht="15.75" hidden="1" customHeight="1">
      <c r="CD635" s="145"/>
      <c r="CE635" s="128"/>
      <c r="CF635" s="126"/>
      <c r="CG635" s="128"/>
      <c r="CH635" s="126"/>
      <c r="CI635" s="129"/>
      <c r="CJ635" s="130"/>
      <c r="CK635" s="131"/>
      <c r="CL635" s="55"/>
      <c r="CM635" s="40"/>
      <c r="CN635" s="229"/>
      <c r="CO635" s="229"/>
      <c r="CP635" s="229"/>
      <c r="CQ635" s="229"/>
      <c r="CR635" s="229"/>
      <c r="CS635" s="229"/>
      <c r="CT635" s="229"/>
      <c r="CU635" s="229"/>
      <c r="CV635" s="229"/>
      <c r="CW635" s="229"/>
    </row>
    <row r="636" ht="15.75" hidden="1" customHeight="1">
      <c r="CD636" s="145"/>
      <c r="CE636" s="128"/>
      <c r="CF636" s="126"/>
      <c r="CG636" s="128"/>
      <c r="CH636" s="126"/>
      <c r="CI636" s="129"/>
      <c r="CJ636" s="130"/>
      <c r="CK636" s="131"/>
      <c r="CL636" s="55"/>
      <c r="CM636" s="40"/>
      <c r="CN636" s="229"/>
      <c r="CO636" s="229"/>
      <c r="CP636" s="229"/>
      <c r="CQ636" s="229"/>
      <c r="CR636" s="229"/>
      <c r="CS636" s="229"/>
      <c r="CT636" s="229"/>
      <c r="CU636" s="229"/>
      <c r="CV636" s="229"/>
      <c r="CW636" s="229"/>
    </row>
    <row r="637" ht="15.75" hidden="1" customHeight="1">
      <c r="CD637" s="53"/>
      <c r="CE637" s="147"/>
      <c r="CF637" s="118"/>
      <c r="CG637" s="118"/>
      <c r="CH637" s="117"/>
      <c r="CI637" s="148"/>
      <c r="CJ637" s="118"/>
      <c r="CK637" s="117"/>
      <c r="CL637" s="55"/>
      <c r="CM637" s="40"/>
      <c r="CN637" s="229"/>
      <c r="CO637" s="229"/>
      <c r="CP637" s="229"/>
      <c r="CQ637" s="229"/>
      <c r="CR637" s="229"/>
      <c r="CS637" s="229"/>
      <c r="CT637" s="229"/>
      <c r="CU637" s="229"/>
      <c r="CV637" s="229"/>
      <c r="CW637" s="229"/>
    </row>
    <row r="638" ht="15.75" hidden="1" customHeight="1">
      <c r="CD638" s="53"/>
      <c r="CE638" s="54"/>
      <c r="CF638" s="55"/>
      <c r="CG638" s="55"/>
      <c r="CH638" s="54"/>
      <c r="CI638" s="54"/>
      <c r="CJ638" s="54"/>
      <c r="CK638" s="16"/>
      <c r="CL638" s="55"/>
      <c r="CM638" s="153"/>
      <c r="CN638" s="229"/>
      <c r="CO638" s="229"/>
      <c r="CP638" s="229"/>
      <c r="CQ638" s="229"/>
      <c r="CR638" s="229"/>
      <c r="CS638" s="229"/>
      <c r="CT638" s="229"/>
      <c r="CU638" s="229"/>
      <c r="CV638" s="229"/>
      <c r="CW638" s="229"/>
    </row>
    <row r="639" ht="15.75" hidden="1" customHeight="1">
      <c r="CD639" s="53"/>
      <c r="CE639" s="54"/>
      <c r="CF639" s="55"/>
      <c r="CG639" s="55"/>
      <c r="CH639" s="54"/>
      <c r="CI639" s="54"/>
      <c r="CJ639" s="54"/>
      <c r="CK639" s="16"/>
      <c r="CL639" s="55"/>
      <c r="CM639" s="70"/>
      <c r="CN639" s="229"/>
      <c r="CO639" s="229"/>
      <c r="CP639" s="229"/>
      <c r="CQ639" s="229"/>
      <c r="CR639" s="229"/>
      <c r="CS639" s="229"/>
      <c r="CT639" s="229"/>
      <c r="CU639" s="229"/>
      <c r="CV639" s="229"/>
      <c r="CW639" s="229"/>
    </row>
    <row r="640" ht="15.75" hidden="1" customHeight="1">
      <c r="CD640" s="53"/>
      <c r="CE640" s="161"/>
      <c r="CF640" s="162"/>
      <c r="CG640" s="158"/>
      <c r="CH640" s="163"/>
      <c r="CI640" s="162"/>
      <c r="CJ640" s="158"/>
      <c r="CK640" s="54"/>
      <c r="CL640" s="164"/>
      <c r="CM640" s="153"/>
      <c r="CN640" s="229"/>
      <c r="CO640" s="229"/>
      <c r="CP640" s="229"/>
      <c r="CQ640" s="229"/>
      <c r="CR640" s="229"/>
      <c r="CS640" s="229"/>
      <c r="CT640" s="229"/>
      <c r="CU640" s="229"/>
      <c r="CV640" s="229"/>
      <c r="CW640" s="229"/>
    </row>
    <row r="641" ht="15.75" hidden="1" customHeight="1">
      <c r="CD641" s="53"/>
      <c r="CE641" s="169"/>
      <c r="CF641" s="77"/>
      <c r="CG641" s="77"/>
      <c r="CH641" s="170"/>
      <c r="CI641" s="171"/>
      <c r="CJ641" s="171"/>
      <c r="CK641" s="172"/>
      <c r="CL641" s="40"/>
      <c r="CM641" s="40"/>
      <c r="CN641" s="229"/>
      <c r="CO641" s="229"/>
      <c r="CP641" s="229"/>
      <c r="CQ641" s="229"/>
      <c r="CR641" s="229"/>
      <c r="CS641" s="229"/>
      <c r="CT641" s="229"/>
      <c r="CU641" s="229"/>
      <c r="CV641" s="229"/>
      <c r="CW641" s="229"/>
    </row>
    <row r="642" ht="15.75" hidden="1" customHeight="1">
      <c r="CD642" s="53"/>
      <c r="CE642" s="169"/>
      <c r="CF642" s="77"/>
      <c r="CG642" s="77"/>
      <c r="CH642" s="170"/>
      <c r="CI642" s="175"/>
      <c r="CJ642" s="175"/>
      <c r="CK642" s="172"/>
      <c r="CL642" s="40"/>
      <c r="CM642" s="40"/>
      <c r="CN642" s="229"/>
      <c r="CO642" s="229"/>
      <c r="CP642" s="229"/>
      <c r="CQ642" s="229"/>
      <c r="CR642" s="229"/>
      <c r="CS642" s="229"/>
      <c r="CT642" s="229"/>
      <c r="CU642" s="229"/>
      <c r="CV642" s="229"/>
      <c r="CW642" s="229"/>
    </row>
    <row r="643" ht="15.75" hidden="1" customHeight="1">
      <c r="CD643" s="53"/>
      <c r="CE643" s="169"/>
      <c r="CF643" s="77"/>
      <c r="CG643" s="77"/>
      <c r="CH643" s="170"/>
      <c r="CI643" s="175"/>
      <c r="CJ643" s="175"/>
      <c r="CK643" s="172"/>
      <c r="CL643" s="40"/>
      <c r="CM643" s="40"/>
      <c r="CN643" s="229"/>
      <c r="CO643" s="229"/>
      <c r="CP643" s="229"/>
      <c r="CQ643" s="229"/>
      <c r="CR643" s="229"/>
      <c r="CS643" s="229"/>
      <c r="CT643" s="229"/>
      <c r="CU643" s="229"/>
      <c r="CV643" s="229"/>
      <c r="CW643" s="229"/>
    </row>
    <row r="644" ht="15.75" hidden="1" customHeight="1">
      <c r="CD644" s="53"/>
      <c r="CE644" s="169"/>
      <c r="CF644" s="77"/>
      <c r="CG644" s="77"/>
      <c r="CH644" s="170"/>
      <c r="CI644" s="175"/>
      <c r="CJ644" s="175"/>
      <c r="CK644" s="172"/>
      <c r="CL644" s="40"/>
      <c r="CM644" s="40"/>
      <c r="CN644" s="229"/>
      <c r="CO644" s="229"/>
      <c r="CP644" s="229"/>
      <c r="CQ644" s="229"/>
      <c r="CR644" s="229"/>
      <c r="CS644" s="229"/>
      <c r="CT644" s="229"/>
      <c r="CU644" s="229"/>
      <c r="CV644" s="229"/>
      <c r="CW644" s="229"/>
    </row>
    <row r="645" ht="15.75" hidden="1" customHeight="1">
      <c r="CD645" s="53"/>
      <c r="CE645" s="169"/>
      <c r="CF645" s="77"/>
      <c r="CG645" s="77"/>
      <c r="CH645" s="170"/>
      <c r="CI645" s="175"/>
      <c r="CJ645" s="175"/>
      <c r="CK645" s="172"/>
      <c r="CL645" s="40"/>
      <c r="CM645" s="40"/>
      <c r="CN645" s="229"/>
      <c r="CO645" s="229"/>
      <c r="CP645" s="229"/>
      <c r="CQ645" s="229"/>
      <c r="CR645" s="229"/>
      <c r="CS645" s="229"/>
      <c r="CT645" s="229"/>
      <c r="CU645" s="229"/>
      <c r="CV645" s="229"/>
      <c r="CW645" s="229"/>
    </row>
    <row r="646" ht="15.75" hidden="1" customHeight="1">
      <c r="CD646" s="53"/>
      <c r="CE646" s="169"/>
      <c r="CF646" s="77"/>
      <c r="CG646" s="77"/>
      <c r="CH646" s="170"/>
      <c r="CI646" s="175"/>
      <c r="CJ646" s="175"/>
      <c r="CK646" s="172"/>
      <c r="CL646" s="40"/>
      <c r="CM646" s="40"/>
      <c r="CN646" s="229"/>
      <c r="CO646" s="229"/>
      <c r="CP646" s="229"/>
      <c r="CQ646" s="229"/>
      <c r="CR646" s="229"/>
      <c r="CS646" s="229"/>
      <c r="CT646" s="229"/>
      <c r="CU646" s="229"/>
      <c r="CV646" s="229"/>
      <c r="CW646" s="229"/>
    </row>
    <row r="647" ht="15.75" hidden="1" customHeight="1">
      <c r="CD647" s="53"/>
      <c r="CE647" s="169"/>
      <c r="CF647" s="77"/>
      <c r="CG647" s="77"/>
      <c r="CH647" s="170"/>
      <c r="CI647" s="175"/>
      <c r="CJ647" s="175"/>
      <c r="CK647" s="172"/>
      <c r="CL647" s="40"/>
      <c r="CM647" s="40"/>
      <c r="CN647" s="229"/>
      <c r="CO647" s="229"/>
      <c r="CP647" s="229"/>
      <c r="CQ647" s="229"/>
      <c r="CR647" s="229"/>
      <c r="CS647" s="229"/>
      <c r="CT647" s="229"/>
      <c r="CU647" s="229"/>
      <c r="CV647" s="229"/>
      <c r="CW647" s="229"/>
    </row>
    <row r="648" ht="15.75" hidden="1" customHeight="1">
      <c r="CD648" s="53"/>
      <c r="CE648" s="169"/>
      <c r="CF648" s="77"/>
      <c r="CG648" s="77"/>
      <c r="CH648" s="170"/>
      <c r="CI648" s="175"/>
      <c r="CJ648" s="175"/>
      <c r="CK648" s="172"/>
      <c r="CL648" s="40"/>
      <c r="CM648" s="40"/>
      <c r="CN648" s="229"/>
      <c r="CO648" s="229"/>
      <c r="CP648" s="229"/>
      <c r="CQ648" s="229"/>
      <c r="CR648" s="229"/>
      <c r="CS648" s="229"/>
      <c r="CT648" s="229"/>
      <c r="CU648" s="229"/>
      <c r="CV648" s="229"/>
      <c r="CW648" s="229"/>
    </row>
    <row r="649" ht="15.75" hidden="1" customHeight="1">
      <c r="CD649" s="53"/>
      <c r="CE649" s="169"/>
      <c r="CF649" s="77"/>
      <c r="CG649" s="77"/>
      <c r="CH649" s="170"/>
      <c r="CI649" s="175"/>
      <c r="CJ649" s="175"/>
      <c r="CK649" s="172"/>
      <c r="CL649" s="40"/>
      <c r="CM649" s="40"/>
      <c r="CN649" s="229"/>
      <c r="CO649" s="229"/>
      <c r="CP649" s="229"/>
      <c r="CQ649" s="229"/>
      <c r="CR649" s="229"/>
      <c r="CS649" s="229"/>
      <c r="CT649" s="229"/>
      <c r="CU649" s="229"/>
      <c r="CV649" s="229"/>
      <c r="CW649" s="229"/>
    </row>
    <row r="650" ht="15.75" hidden="1" customHeight="1">
      <c r="CD650" s="53"/>
      <c r="CE650" s="169"/>
      <c r="CF650" s="77"/>
      <c r="CG650" s="77"/>
      <c r="CH650" s="170"/>
      <c r="CI650" s="175"/>
      <c r="CJ650" s="175"/>
      <c r="CK650" s="172"/>
      <c r="CL650" s="40"/>
      <c r="CM650" s="40"/>
      <c r="CN650" s="229"/>
      <c r="CO650" s="229"/>
      <c r="CP650" s="229"/>
      <c r="CQ650" s="229"/>
      <c r="CR650" s="229"/>
      <c r="CS650" s="229"/>
      <c r="CT650" s="229"/>
      <c r="CU650" s="229"/>
      <c r="CV650" s="229"/>
      <c r="CW650" s="229"/>
    </row>
    <row r="651" ht="15.75" hidden="1" customHeight="1">
      <c r="CD651" s="53"/>
      <c r="CE651" s="169"/>
      <c r="CF651" s="77"/>
      <c r="CG651" s="77"/>
      <c r="CH651" s="170"/>
      <c r="CI651" s="175"/>
      <c r="CJ651" s="175"/>
      <c r="CK651" s="172"/>
      <c r="CL651" s="40"/>
      <c r="CM651" s="40"/>
      <c r="CN651" s="229"/>
      <c r="CO651" s="229"/>
      <c r="CP651" s="229"/>
      <c r="CQ651" s="229"/>
      <c r="CR651" s="229"/>
      <c r="CS651" s="229"/>
      <c r="CT651" s="229"/>
      <c r="CU651" s="229"/>
      <c r="CV651" s="229"/>
      <c r="CW651" s="229"/>
    </row>
    <row r="652" ht="15.75" hidden="1" customHeight="1">
      <c r="CD652" s="53"/>
      <c r="CE652" s="169"/>
      <c r="CF652" s="77"/>
      <c r="CG652" s="77"/>
      <c r="CH652" s="170"/>
      <c r="CI652" s="175"/>
      <c r="CJ652" s="175"/>
      <c r="CK652" s="172"/>
      <c r="CL652" s="40"/>
      <c r="CM652" s="40"/>
      <c r="CN652" s="229"/>
      <c r="CO652" s="229"/>
      <c r="CP652" s="229"/>
      <c r="CQ652" s="229"/>
      <c r="CR652" s="229"/>
      <c r="CS652" s="229"/>
      <c r="CT652" s="229"/>
      <c r="CU652" s="229"/>
      <c r="CV652" s="229"/>
      <c r="CW652" s="229"/>
    </row>
    <row r="653" ht="15.75" hidden="1" customHeight="1">
      <c r="CD653" s="53"/>
      <c r="CE653" s="169"/>
      <c r="CF653" s="77"/>
      <c r="CG653" s="77"/>
      <c r="CH653" s="170"/>
      <c r="CI653" s="175"/>
      <c r="CJ653" s="175"/>
      <c r="CK653" s="172"/>
      <c r="CL653" s="40"/>
      <c r="CM653" s="40"/>
      <c r="CN653" s="229"/>
      <c r="CO653" s="229"/>
      <c r="CP653" s="229"/>
      <c r="CQ653" s="229"/>
      <c r="CR653" s="229"/>
      <c r="CS653" s="229"/>
      <c r="CT653" s="229"/>
      <c r="CU653" s="229"/>
      <c r="CV653" s="229"/>
      <c r="CW653" s="229"/>
    </row>
    <row r="654" ht="15.75" hidden="1" customHeight="1">
      <c r="CD654" s="53"/>
      <c r="CE654" s="169"/>
      <c r="CF654" s="77"/>
      <c r="CG654" s="77"/>
      <c r="CH654" s="170"/>
      <c r="CI654" s="175"/>
      <c r="CJ654" s="175"/>
      <c r="CK654" s="172"/>
      <c r="CL654" s="40"/>
      <c r="CM654" s="40"/>
      <c r="CN654" s="229"/>
      <c r="CO654" s="229"/>
      <c r="CP654" s="229"/>
      <c r="CQ654" s="229"/>
      <c r="CR654" s="229"/>
      <c r="CS654" s="229"/>
      <c r="CT654" s="229"/>
      <c r="CU654" s="229"/>
      <c r="CV654" s="229"/>
      <c r="CW654" s="229"/>
    </row>
    <row r="655" ht="15.75" hidden="1" customHeight="1">
      <c r="CD655" s="53"/>
      <c r="CE655" s="169"/>
      <c r="CF655" s="77"/>
      <c r="CG655" s="77"/>
      <c r="CH655" s="170"/>
      <c r="CI655" s="175"/>
      <c r="CJ655" s="175"/>
      <c r="CK655" s="172"/>
      <c r="CL655" s="40"/>
      <c r="CM655" s="40"/>
      <c r="CN655" s="229"/>
      <c r="CO655" s="229"/>
      <c r="CP655" s="229"/>
      <c r="CQ655" s="229"/>
      <c r="CR655" s="229"/>
      <c r="CS655" s="229"/>
      <c r="CT655" s="229"/>
      <c r="CU655" s="229"/>
      <c r="CV655" s="229"/>
      <c r="CW655" s="229"/>
    </row>
    <row r="656" ht="15.75" hidden="1" customHeight="1">
      <c r="CD656" s="53"/>
      <c r="CE656" s="169"/>
      <c r="CF656" s="77"/>
      <c r="CG656" s="77"/>
      <c r="CH656" s="170"/>
      <c r="CI656" s="175"/>
      <c r="CJ656" s="175"/>
      <c r="CK656" s="172"/>
      <c r="CL656" s="40"/>
      <c r="CM656" s="40"/>
      <c r="CN656" s="229"/>
      <c r="CO656" s="229"/>
      <c r="CP656" s="229"/>
      <c r="CQ656" s="229"/>
      <c r="CR656" s="229"/>
      <c r="CS656" s="229"/>
      <c r="CT656" s="229"/>
      <c r="CU656" s="229"/>
      <c r="CV656" s="229"/>
      <c r="CW656" s="229"/>
    </row>
    <row r="657" ht="15.75" hidden="1" customHeight="1">
      <c r="CD657" s="53"/>
      <c r="CE657" s="180"/>
      <c r="CF657" s="77"/>
      <c r="CG657" s="77"/>
      <c r="CH657" s="181"/>
      <c r="CI657" s="182"/>
      <c r="CJ657" s="182"/>
      <c r="CK657" s="172"/>
      <c r="CL657" s="40"/>
      <c r="CM657" s="40"/>
      <c r="CN657" s="229"/>
      <c r="CO657" s="229"/>
      <c r="CP657" s="229"/>
      <c r="CQ657" s="229"/>
      <c r="CR657" s="229"/>
      <c r="CS657" s="229"/>
      <c r="CT657" s="229"/>
      <c r="CU657" s="229"/>
      <c r="CV657" s="229"/>
      <c r="CW657" s="229"/>
    </row>
    <row r="658" ht="15.75" hidden="1" customHeight="1">
      <c r="CD658" s="53"/>
      <c r="CE658" s="190"/>
      <c r="CF658" s="77"/>
      <c r="CG658" s="77"/>
      <c r="CH658" s="188"/>
      <c r="CI658" s="175"/>
      <c r="CJ658" s="175"/>
      <c r="CK658" s="189"/>
      <c r="CL658" s="40"/>
      <c r="CM658" s="40"/>
      <c r="CN658" s="229"/>
      <c r="CO658" s="229"/>
      <c r="CP658" s="229"/>
      <c r="CQ658" s="229"/>
      <c r="CR658" s="229"/>
      <c r="CS658" s="229"/>
      <c r="CT658" s="229"/>
      <c r="CU658" s="229"/>
      <c r="CV658" s="229"/>
      <c r="CW658" s="229"/>
    </row>
    <row r="659" ht="15.75" hidden="1" customHeight="1">
      <c r="CD659" s="53"/>
      <c r="CE659" s="190"/>
      <c r="CF659" s="77"/>
      <c r="CG659" s="77"/>
      <c r="CH659" s="188"/>
      <c r="CI659" s="175"/>
      <c r="CJ659" s="175"/>
      <c r="CK659" s="192"/>
      <c r="CL659" s="40"/>
      <c r="CM659" s="40"/>
      <c r="CN659" s="229"/>
      <c r="CO659" s="229"/>
      <c r="CP659" s="229"/>
      <c r="CQ659" s="229"/>
      <c r="CR659" s="229"/>
      <c r="CS659" s="229"/>
      <c r="CT659" s="229"/>
      <c r="CU659" s="229"/>
      <c r="CV659" s="229"/>
      <c r="CW659" s="229"/>
    </row>
    <row r="660" ht="15.75" hidden="1" customHeight="1">
      <c r="CD660" s="53"/>
      <c r="CE660" s="190"/>
      <c r="CF660" s="77"/>
      <c r="CG660" s="77"/>
      <c r="CH660" s="188"/>
      <c r="CI660" s="175"/>
      <c r="CJ660" s="175"/>
      <c r="CK660" s="192"/>
      <c r="CL660" s="40"/>
      <c r="CM660" s="40"/>
      <c r="CN660" s="229"/>
      <c r="CO660" s="229"/>
      <c r="CP660" s="229"/>
      <c r="CQ660" s="229"/>
      <c r="CR660" s="229"/>
      <c r="CS660" s="229"/>
      <c r="CT660" s="229"/>
      <c r="CU660" s="229"/>
      <c r="CV660" s="229"/>
      <c r="CW660" s="229"/>
    </row>
    <row r="661" ht="15.75" hidden="1" customHeight="1">
      <c r="CD661" s="53"/>
      <c r="CE661" s="187"/>
      <c r="CF661" s="77"/>
      <c r="CG661" s="77"/>
      <c r="CH661" s="188"/>
      <c r="CI661" s="175"/>
      <c r="CJ661" s="175"/>
      <c r="CK661" s="192"/>
      <c r="CL661" s="40"/>
      <c r="CM661" s="40"/>
      <c r="CN661" s="229"/>
      <c r="CO661" s="229"/>
      <c r="CP661" s="229"/>
      <c r="CQ661" s="229"/>
      <c r="CR661" s="229"/>
      <c r="CS661" s="229"/>
      <c r="CT661" s="229"/>
      <c r="CU661" s="229"/>
      <c r="CV661" s="229"/>
      <c r="CW661" s="229"/>
    </row>
    <row r="662" ht="15.75" hidden="1" customHeight="1">
      <c r="CD662" s="53"/>
      <c r="CE662" s="190"/>
      <c r="CF662" s="77"/>
      <c r="CG662" s="77"/>
      <c r="CH662" s="188"/>
      <c r="CI662" s="175"/>
      <c r="CJ662" s="175"/>
      <c r="CK662" s="192"/>
      <c r="CL662" s="40"/>
      <c r="CM662" s="40"/>
      <c r="CN662" s="229"/>
      <c r="CO662" s="229"/>
      <c r="CP662" s="229"/>
      <c r="CQ662" s="229"/>
      <c r="CR662" s="229"/>
      <c r="CS662" s="229"/>
      <c r="CT662" s="229"/>
      <c r="CU662" s="229"/>
      <c r="CV662" s="229"/>
      <c r="CW662" s="229"/>
    </row>
    <row r="663" ht="15.75" hidden="1" customHeight="1">
      <c r="CD663" s="53"/>
      <c r="CE663" s="190"/>
      <c r="CF663" s="77"/>
      <c r="CG663" s="77"/>
      <c r="CH663" s="188"/>
      <c r="CI663" s="175"/>
      <c r="CJ663" s="175"/>
      <c r="CK663" s="192"/>
      <c r="CL663" s="40"/>
      <c r="CM663" s="40"/>
      <c r="CN663" s="229"/>
      <c r="CO663" s="229"/>
      <c r="CP663" s="229"/>
      <c r="CQ663" s="229"/>
      <c r="CR663" s="229"/>
      <c r="CS663" s="229"/>
      <c r="CT663" s="229"/>
      <c r="CU663" s="229"/>
      <c r="CV663" s="229"/>
      <c r="CW663" s="229"/>
    </row>
    <row r="664" ht="15.75" hidden="1" customHeight="1">
      <c r="CD664" s="53"/>
      <c r="CE664" s="198"/>
      <c r="CF664" s="77"/>
      <c r="CG664" s="77"/>
      <c r="CH664" s="196"/>
      <c r="CI664" s="197"/>
      <c r="CJ664" s="197"/>
      <c r="CK664" s="192"/>
      <c r="CL664" s="40"/>
      <c r="CM664" s="40"/>
      <c r="CN664" s="229"/>
      <c r="CO664" s="229"/>
      <c r="CP664" s="229"/>
      <c r="CQ664" s="229"/>
      <c r="CR664" s="229"/>
      <c r="CS664" s="229"/>
      <c r="CT664" s="229"/>
      <c r="CU664" s="229"/>
      <c r="CV664" s="229"/>
      <c r="CW664" s="229"/>
    </row>
    <row r="665" ht="15.75" hidden="1" customHeight="1">
      <c r="CD665" s="53"/>
      <c r="CE665" s="180"/>
      <c r="CF665" s="201"/>
      <c r="CG665" s="201"/>
      <c r="CH665" s="181"/>
      <c r="CI665" s="182"/>
      <c r="CJ665" s="182"/>
      <c r="CK665" s="192"/>
      <c r="CL665" s="40"/>
      <c r="CM665" s="40"/>
      <c r="CN665" s="229"/>
      <c r="CO665" s="229"/>
      <c r="CP665" s="229"/>
      <c r="CQ665" s="229"/>
      <c r="CR665" s="229"/>
      <c r="CS665" s="229"/>
      <c r="CT665" s="229"/>
      <c r="CU665" s="229"/>
      <c r="CV665" s="229"/>
      <c r="CW665" s="229"/>
    </row>
    <row r="666" ht="15.75" hidden="1" customHeight="1">
      <c r="CD666" s="53"/>
      <c r="CE666" s="187"/>
      <c r="CF666" s="77"/>
      <c r="CG666" s="77"/>
      <c r="CH666" s="188"/>
      <c r="CI666" s="175"/>
      <c r="CJ666" s="175"/>
      <c r="CK666" s="192"/>
      <c r="CL666" s="40"/>
      <c r="CM666" s="40"/>
      <c r="CN666" s="229"/>
      <c r="CO666" s="229"/>
      <c r="CP666" s="229"/>
      <c r="CQ666" s="229"/>
      <c r="CR666" s="229"/>
      <c r="CS666" s="229"/>
      <c r="CT666" s="229"/>
      <c r="CU666" s="229"/>
      <c r="CV666" s="229"/>
      <c r="CW666" s="229"/>
    </row>
    <row r="667" ht="15.75" hidden="1" customHeight="1">
      <c r="CD667" s="53"/>
      <c r="CE667" s="187"/>
      <c r="CF667" s="77"/>
      <c r="CG667" s="77"/>
      <c r="CH667" s="188"/>
      <c r="CI667" s="175"/>
      <c r="CJ667" s="175"/>
      <c r="CK667" s="192"/>
      <c r="CL667" s="40"/>
      <c r="CM667" s="40"/>
      <c r="CN667" s="229"/>
      <c r="CO667" s="229"/>
      <c r="CP667" s="229"/>
      <c r="CQ667" s="229"/>
      <c r="CR667" s="229"/>
      <c r="CS667" s="229"/>
      <c r="CT667" s="229"/>
      <c r="CU667" s="229"/>
      <c r="CV667" s="229"/>
      <c r="CW667" s="229"/>
    </row>
    <row r="668" ht="15.75" hidden="1" customHeight="1">
      <c r="CD668" s="53"/>
      <c r="CE668" s="195"/>
      <c r="CF668" s="77"/>
      <c r="CG668" s="77"/>
      <c r="CH668" s="196"/>
      <c r="CI668" s="197"/>
      <c r="CJ668" s="197"/>
      <c r="CK668" s="192"/>
      <c r="CL668" s="40"/>
      <c r="CM668" s="40"/>
      <c r="CN668" s="229"/>
      <c r="CO668" s="229"/>
      <c r="CP668" s="229"/>
      <c r="CQ668" s="229"/>
      <c r="CR668" s="229"/>
      <c r="CS668" s="229"/>
      <c r="CT668" s="229"/>
      <c r="CU668" s="229"/>
      <c r="CV668" s="229"/>
      <c r="CW668" s="229"/>
    </row>
    <row r="669" ht="15.75" hidden="1" customHeight="1">
      <c r="CD669" s="53"/>
      <c r="CE669" s="180"/>
      <c r="CF669" s="201"/>
      <c r="CG669" s="201"/>
      <c r="CH669" s="181"/>
      <c r="CI669" s="182"/>
      <c r="CJ669" s="182"/>
      <c r="CK669" s="192"/>
      <c r="CL669" s="40"/>
      <c r="CM669" s="40"/>
      <c r="CN669" s="229"/>
      <c r="CO669" s="229"/>
      <c r="CP669" s="229"/>
      <c r="CQ669" s="229"/>
      <c r="CR669" s="229"/>
      <c r="CS669" s="229"/>
      <c r="CT669" s="229"/>
      <c r="CU669" s="229"/>
      <c r="CV669" s="229"/>
      <c r="CW669" s="229"/>
    </row>
    <row r="670" ht="15.75" hidden="1" customHeight="1">
      <c r="CD670" s="53"/>
      <c r="CE670" s="195"/>
      <c r="CF670" s="77"/>
      <c r="CG670" s="77"/>
      <c r="CH670" s="196"/>
      <c r="CI670" s="197"/>
      <c r="CJ670" s="197"/>
      <c r="CK670" s="192"/>
      <c r="CL670" s="40"/>
      <c r="CM670" s="40"/>
      <c r="CN670" s="229"/>
      <c r="CO670" s="229"/>
      <c r="CP670" s="229"/>
      <c r="CQ670" s="229"/>
      <c r="CR670" s="229"/>
      <c r="CS670" s="229"/>
      <c r="CT670" s="229"/>
      <c r="CU670" s="229"/>
      <c r="CV670" s="229"/>
      <c r="CW670" s="229"/>
    </row>
    <row r="671" ht="15.75" hidden="1" customHeight="1">
      <c r="CD671" s="53"/>
      <c r="CE671" s="207"/>
      <c r="CF671" s="77"/>
      <c r="CG671" s="77"/>
      <c r="CH671" s="208"/>
      <c r="CI671" s="209"/>
      <c r="CJ671" s="209"/>
      <c r="CK671" s="192"/>
      <c r="CL671" s="40"/>
      <c r="CM671" s="40"/>
      <c r="CN671" s="229"/>
      <c r="CO671" s="229"/>
      <c r="CP671" s="229"/>
      <c r="CQ671" s="229"/>
      <c r="CR671" s="229"/>
      <c r="CS671" s="229"/>
      <c r="CT671" s="229"/>
      <c r="CU671" s="229"/>
      <c r="CV671" s="229"/>
      <c r="CW671" s="229"/>
    </row>
    <row r="672" ht="15.75" hidden="1" customHeight="1">
      <c r="CD672" s="64"/>
      <c r="CE672" s="54"/>
      <c r="CF672" s="55"/>
      <c r="CG672" s="55"/>
      <c r="CH672" s="54"/>
      <c r="CI672" s="54"/>
      <c r="CJ672" s="54"/>
      <c r="CK672" s="16"/>
      <c r="CL672" s="55"/>
      <c r="CM672" s="70"/>
      <c r="CN672" s="229"/>
      <c r="CO672" s="229"/>
      <c r="CP672" s="229"/>
      <c r="CQ672" s="229"/>
      <c r="CR672" s="229"/>
      <c r="CS672" s="229"/>
      <c r="CT672" s="229"/>
      <c r="CU672" s="229"/>
      <c r="CV672" s="229"/>
      <c r="CW672" s="229"/>
    </row>
    <row r="673" ht="15.75" hidden="1" customHeight="1">
      <c r="CD673" s="54"/>
      <c r="CE673" s="54"/>
      <c r="CF673" s="55"/>
      <c r="CG673" s="55"/>
      <c r="CH673" s="54"/>
      <c r="CI673" s="54"/>
      <c r="CJ673" s="54"/>
      <c r="CK673" s="16"/>
      <c r="CL673" s="55"/>
      <c r="CM673" s="70"/>
      <c r="CN673" s="229"/>
      <c r="CO673" s="229"/>
      <c r="CP673" s="229"/>
      <c r="CQ673" s="229"/>
      <c r="CR673" s="229"/>
      <c r="CS673" s="229"/>
      <c r="CT673" s="229"/>
      <c r="CU673" s="229"/>
      <c r="CV673" s="229"/>
      <c r="CW673" s="229"/>
    </row>
    <row r="674" ht="15.75" hidden="1" customHeight="1">
      <c r="CD674" s="216"/>
      <c r="CE674" s="217"/>
      <c r="CF674" s="218"/>
      <c r="CG674" s="118"/>
      <c r="CH674" s="118"/>
      <c r="CI674" s="118"/>
      <c r="CJ674" s="118"/>
      <c r="CK674" s="117"/>
      <c r="CL674" s="219"/>
      <c r="CM674" s="220"/>
      <c r="CN674" s="229"/>
      <c r="CO674" s="229"/>
      <c r="CP674" s="229"/>
      <c r="CQ674" s="229"/>
      <c r="CR674" s="229"/>
      <c r="CS674" s="229"/>
      <c r="CT674" s="229"/>
      <c r="CU674" s="229"/>
      <c r="CV674" s="229"/>
      <c r="CW674" s="229"/>
    </row>
    <row r="675" ht="15.75" hidden="1" customHeight="1">
      <c r="CD675" s="16"/>
      <c r="CE675" s="217"/>
      <c r="CF675" s="218"/>
      <c r="CG675" s="118"/>
      <c r="CH675" s="118"/>
      <c r="CI675" s="118"/>
      <c r="CJ675" s="118"/>
      <c r="CK675" s="117"/>
      <c r="CL675" s="227"/>
      <c r="CM675" s="228"/>
      <c r="CN675" s="229"/>
      <c r="CO675" s="229"/>
      <c r="CP675" s="229"/>
      <c r="CQ675" s="229"/>
      <c r="CR675" s="229"/>
      <c r="CS675" s="229"/>
      <c r="CT675" s="229"/>
      <c r="CU675" s="229"/>
      <c r="CV675" s="229"/>
      <c r="CW675" s="229"/>
    </row>
    <row r="676" ht="15.75" hidden="1" customHeight="1">
      <c r="CD676" s="4"/>
      <c r="CE676" s="2"/>
      <c r="CF676" s="2"/>
      <c r="CG676" s="2"/>
      <c r="CH676" s="2"/>
      <c r="CI676" s="5"/>
      <c r="CJ676" s="5"/>
      <c r="CK676" s="5"/>
      <c r="CL676" s="5"/>
      <c r="CM676" s="6"/>
      <c r="CN676" s="229"/>
      <c r="CO676" s="229"/>
      <c r="CP676" s="229"/>
      <c r="CQ676" s="229"/>
      <c r="CR676" s="229"/>
      <c r="CS676" s="229"/>
      <c r="CT676" s="229"/>
      <c r="CU676" s="229"/>
      <c r="CV676" s="229"/>
      <c r="CW676" s="229"/>
    </row>
    <row r="677" ht="15.75" hidden="1" customHeight="1">
      <c r="CD677" s="11"/>
      <c r="CI677" s="12"/>
      <c r="CJ677" s="12"/>
      <c r="CK677" s="12"/>
      <c r="CL677" s="13"/>
      <c r="CM677" s="14"/>
      <c r="CN677" s="229"/>
      <c r="CO677" s="229"/>
      <c r="CP677" s="229"/>
      <c r="CQ677" s="229"/>
      <c r="CR677" s="229"/>
      <c r="CS677" s="229"/>
      <c r="CT677" s="229"/>
      <c r="CU677" s="229"/>
      <c r="CV677" s="229"/>
      <c r="CW677" s="229"/>
    </row>
    <row r="678" ht="15.75" hidden="1" customHeight="1">
      <c r="CD678" s="17"/>
      <c r="CE678" s="18"/>
      <c r="CF678" s="18"/>
      <c r="CG678" s="18"/>
      <c r="CH678" s="18"/>
      <c r="CI678" s="18"/>
      <c r="CJ678" s="18"/>
      <c r="CK678" s="18"/>
      <c r="CL678" s="18"/>
      <c r="CM678" s="18"/>
      <c r="CN678" s="229"/>
      <c r="CO678" s="229"/>
      <c r="CP678" s="229"/>
      <c r="CQ678" s="229"/>
      <c r="CR678" s="229"/>
      <c r="CS678" s="229"/>
      <c r="CT678" s="229"/>
      <c r="CU678" s="229"/>
      <c r="CV678" s="229"/>
      <c r="CW678" s="229"/>
    </row>
    <row r="679" ht="15.75" hidden="1" customHeight="1">
      <c r="CD679" s="23"/>
      <c r="CE679" s="24"/>
      <c r="CF679" s="28"/>
      <c r="CG679" s="26"/>
      <c r="CH679" s="26"/>
      <c r="CI679" s="26"/>
      <c r="CJ679" s="26"/>
      <c r="CK679" s="27"/>
      <c r="CL679" s="27"/>
      <c r="CM679" s="27"/>
      <c r="CN679" s="229"/>
      <c r="CO679" s="229"/>
      <c r="CP679" s="229"/>
      <c r="CQ679" s="229"/>
      <c r="CR679" s="229"/>
      <c r="CS679" s="229"/>
      <c r="CT679" s="229"/>
      <c r="CU679" s="229"/>
      <c r="CV679" s="229"/>
      <c r="CW679" s="229"/>
    </row>
    <row r="680" ht="15.75" hidden="1" customHeight="1">
      <c r="CD680" s="23"/>
      <c r="CE680" s="26"/>
      <c r="CF680" s="39"/>
      <c r="CG680" s="26"/>
      <c r="CH680" s="26"/>
      <c r="CI680" s="26"/>
      <c r="CJ680" s="26"/>
      <c r="CK680" s="40"/>
      <c r="CL680" s="40"/>
      <c r="CM680" s="40"/>
      <c r="CN680" s="229"/>
      <c r="CO680" s="229"/>
      <c r="CP680" s="229"/>
      <c r="CQ680" s="229"/>
      <c r="CR680" s="229"/>
      <c r="CS680" s="229"/>
      <c r="CT680" s="229"/>
      <c r="CU680" s="229"/>
      <c r="CV680" s="229"/>
      <c r="CW680" s="229"/>
    </row>
    <row r="681" ht="15.75" hidden="1" customHeight="1">
      <c r="CD681" s="45"/>
      <c r="CE681" s="46"/>
      <c r="CF681" s="46"/>
      <c r="CG681" s="46"/>
      <c r="CH681" s="46"/>
      <c r="CI681" s="46"/>
      <c r="CJ681" s="46"/>
      <c r="CK681" s="46"/>
      <c r="CL681" s="47"/>
      <c r="CM681" s="47"/>
      <c r="CN681" s="229"/>
      <c r="CO681" s="229"/>
      <c r="CP681" s="229"/>
      <c r="CQ681" s="229"/>
      <c r="CR681" s="229"/>
      <c r="CS681" s="229"/>
      <c r="CT681" s="229"/>
      <c r="CU681" s="229"/>
      <c r="CV681" s="229"/>
      <c r="CW681" s="229"/>
    </row>
    <row r="682" ht="15.75" hidden="1" customHeight="1">
      <c r="CD682" s="53"/>
      <c r="CE682" s="54"/>
      <c r="CF682" s="54"/>
      <c r="CG682" s="54"/>
      <c r="CH682" s="54"/>
      <c r="CI682" s="54"/>
      <c r="CJ682" s="54"/>
      <c r="CK682" s="54"/>
      <c r="CL682" s="55"/>
      <c r="CM682" s="56"/>
      <c r="CN682" s="229"/>
      <c r="CO682" s="229"/>
      <c r="CP682" s="229"/>
      <c r="CQ682" s="229"/>
      <c r="CR682" s="229"/>
      <c r="CS682" s="229"/>
      <c r="CT682" s="229"/>
      <c r="CU682" s="229"/>
      <c r="CV682" s="229"/>
      <c r="CW682" s="229"/>
    </row>
    <row r="683" ht="15.75" hidden="1" customHeight="1">
      <c r="CD683" s="64"/>
      <c r="CE683" s="65"/>
      <c r="CF683" s="62"/>
      <c r="CG683" s="62"/>
      <c r="CH683" s="66"/>
      <c r="CI683" s="54"/>
      <c r="CJ683" s="54"/>
      <c r="CK683" s="71"/>
      <c r="CL683" s="68"/>
      <c r="CM683" s="70"/>
      <c r="CN683" s="229"/>
      <c r="CO683" s="229"/>
      <c r="CP683" s="229"/>
      <c r="CQ683" s="229"/>
      <c r="CR683" s="229"/>
      <c r="CS683" s="229"/>
      <c r="CT683" s="229"/>
      <c r="CU683" s="229"/>
      <c r="CV683" s="229"/>
      <c r="CW683" s="229"/>
    </row>
    <row r="684" ht="15.75" hidden="1" customHeight="1">
      <c r="CD684" s="64"/>
      <c r="CE684" s="65"/>
      <c r="CF684" s="62"/>
      <c r="CG684" s="62"/>
      <c r="CH684" s="66"/>
      <c r="CI684" s="54"/>
      <c r="CJ684" s="54"/>
      <c r="CK684" s="67"/>
      <c r="CL684" s="78"/>
      <c r="CM684" s="70"/>
      <c r="CN684" s="229"/>
      <c r="CO684" s="229"/>
      <c r="CP684" s="229"/>
      <c r="CQ684" s="229"/>
      <c r="CR684" s="229"/>
      <c r="CS684" s="229"/>
      <c r="CT684" s="229"/>
      <c r="CU684" s="229"/>
      <c r="CV684" s="229"/>
      <c r="CW684" s="229"/>
    </row>
    <row r="685" ht="15.75" hidden="1" customHeight="1">
      <c r="CD685" s="64"/>
      <c r="CE685" s="65"/>
      <c r="CF685" s="62"/>
      <c r="CG685" s="62"/>
      <c r="CH685" s="66"/>
      <c r="CI685" s="54"/>
      <c r="CJ685" s="54"/>
      <c r="CK685" s="67"/>
      <c r="CL685" s="78"/>
      <c r="CM685" s="70"/>
      <c r="CN685" s="229"/>
      <c r="CO685" s="229"/>
      <c r="CP685" s="229"/>
      <c r="CQ685" s="229"/>
      <c r="CR685" s="229"/>
      <c r="CS685" s="229"/>
      <c r="CT685" s="229"/>
      <c r="CU685" s="229"/>
      <c r="CV685" s="229"/>
      <c r="CW685" s="229"/>
    </row>
    <row r="686" ht="15.75" hidden="1" customHeight="1">
      <c r="CD686" s="64"/>
      <c r="CE686" s="65"/>
      <c r="CF686" s="62"/>
      <c r="CG686" s="62"/>
      <c r="CH686" s="66"/>
      <c r="CI686" s="54"/>
      <c r="CJ686" s="54"/>
      <c r="CK686" s="67"/>
      <c r="CL686" s="78"/>
      <c r="CM686" s="70"/>
      <c r="CN686" s="229"/>
      <c r="CO686" s="229"/>
      <c r="CP686" s="229"/>
      <c r="CQ686" s="229"/>
      <c r="CR686" s="229"/>
      <c r="CS686" s="229"/>
      <c r="CT686" s="229"/>
      <c r="CU686" s="229"/>
      <c r="CV686" s="229"/>
      <c r="CW686" s="229"/>
    </row>
    <row r="687" ht="15.75" hidden="1" customHeight="1">
      <c r="CD687" s="64"/>
      <c r="CE687" s="65"/>
      <c r="CF687" s="62"/>
      <c r="CG687" s="62"/>
      <c r="CH687" s="66"/>
      <c r="CI687" s="54"/>
      <c r="CJ687" s="54"/>
      <c r="CK687" s="67"/>
      <c r="CL687" s="78"/>
      <c r="CM687" s="70"/>
      <c r="CN687" s="229"/>
      <c r="CO687" s="229"/>
      <c r="CP687" s="229"/>
      <c r="CQ687" s="229"/>
      <c r="CR687" s="229"/>
      <c r="CS687" s="229"/>
      <c r="CT687" s="229"/>
      <c r="CU687" s="229"/>
      <c r="CV687" s="229"/>
      <c r="CW687" s="229"/>
    </row>
    <row r="688" ht="15.75" hidden="1" customHeight="1">
      <c r="CD688" s="64"/>
      <c r="CE688" s="65"/>
      <c r="CF688" s="62"/>
      <c r="CG688" s="62"/>
      <c r="CH688" s="66"/>
      <c r="CI688" s="54"/>
      <c r="CJ688" s="54"/>
      <c r="CK688" s="67"/>
      <c r="CL688" s="78"/>
      <c r="CM688" s="70"/>
      <c r="CN688" s="229"/>
      <c r="CO688" s="229"/>
      <c r="CP688" s="229"/>
      <c r="CQ688" s="229"/>
      <c r="CR688" s="229"/>
      <c r="CS688" s="229"/>
      <c r="CT688" s="229"/>
      <c r="CU688" s="229"/>
      <c r="CV688" s="229"/>
      <c r="CW688" s="229"/>
    </row>
    <row r="689" ht="15.75" hidden="1" customHeight="1">
      <c r="CD689" s="64"/>
      <c r="CE689" s="65"/>
      <c r="CF689" s="62"/>
      <c r="CG689" s="62"/>
      <c r="CH689" s="66"/>
      <c r="CI689" s="54"/>
      <c r="CJ689" s="54"/>
      <c r="CK689" s="67"/>
      <c r="CL689" s="78"/>
      <c r="CM689" s="70"/>
      <c r="CN689" s="229"/>
      <c r="CO689" s="229"/>
      <c r="CP689" s="229"/>
      <c r="CQ689" s="229"/>
      <c r="CR689" s="229"/>
      <c r="CS689" s="229"/>
      <c r="CT689" s="229"/>
      <c r="CU689" s="229"/>
      <c r="CV689" s="229"/>
      <c r="CW689" s="229"/>
    </row>
    <row r="690" ht="15.75" hidden="1" customHeight="1">
      <c r="CD690" s="64"/>
      <c r="CE690" s="65"/>
      <c r="CF690" s="62"/>
      <c r="CG690" s="62"/>
      <c r="CH690" s="66"/>
      <c r="CI690" s="54"/>
      <c r="CJ690" s="54"/>
      <c r="CK690" s="67"/>
      <c r="CL690" s="78"/>
      <c r="CM690" s="70"/>
      <c r="CN690" s="229"/>
      <c r="CO690" s="229"/>
      <c r="CP690" s="229"/>
      <c r="CQ690" s="229"/>
      <c r="CR690" s="229"/>
      <c r="CS690" s="229"/>
      <c r="CT690" s="229"/>
      <c r="CU690" s="229"/>
      <c r="CV690" s="229"/>
      <c r="CW690" s="229"/>
    </row>
    <row r="691" ht="15.75" hidden="1" customHeight="1">
      <c r="CD691" s="64"/>
      <c r="CE691" s="65"/>
      <c r="CF691" s="62"/>
      <c r="CG691" s="62"/>
      <c r="CH691" s="66"/>
      <c r="CI691" s="54"/>
      <c r="CJ691" s="54"/>
      <c r="CK691" s="67"/>
      <c r="CL691" s="78"/>
      <c r="CM691" s="70"/>
      <c r="CN691" s="229"/>
      <c r="CO691" s="229"/>
      <c r="CP691" s="229"/>
      <c r="CQ691" s="229"/>
      <c r="CR691" s="229"/>
      <c r="CS691" s="229"/>
      <c r="CT691" s="229"/>
      <c r="CU691" s="229"/>
      <c r="CV691" s="229"/>
      <c r="CW691" s="229"/>
    </row>
    <row r="692" ht="15.75" hidden="1" customHeight="1">
      <c r="CD692" s="64"/>
      <c r="CE692" s="65"/>
      <c r="CF692" s="62"/>
      <c r="CG692" s="62"/>
      <c r="CH692" s="66"/>
      <c r="CI692" s="54"/>
      <c r="CJ692" s="54"/>
      <c r="CK692" s="67"/>
      <c r="CL692" s="78"/>
      <c r="CM692" s="70"/>
      <c r="CN692" s="229"/>
      <c r="CO692" s="229"/>
      <c r="CP692" s="229"/>
      <c r="CQ692" s="229"/>
      <c r="CR692" s="229"/>
      <c r="CS692" s="229"/>
      <c r="CT692" s="229"/>
      <c r="CU692" s="229"/>
      <c r="CV692" s="229"/>
      <c r="CW692" s="229"/>
    </row>
    <row r="693" ht="15.75" hidden="1" customHeight="1">
      <c r="CD693" s="64"/>
      <c r="CE693" s="65"/>
      <c r="CF693" s="62"/>
      <c r="CG693" s="62"/>
      <c r="CH693" s="66"/>
      <c r="CI693" s="54"/>
      <c r="CJ693" s="54"/>
      <c r="CK693" s="67"/>
      <c r="CL693" s="78"/>
      <c r="CM693" s="70"/>
      <c r="CN693" s="229"/>
      <c r="CO693" s="229"/>
      <c r="CP693" s="229"/>
      <c r="CQ693" s="229"/>
      <c r="CR693" s="229"/>
      <c r="CS693" s="229"/>
      <c r="CT693" s="229"/>
      <c r="CU693" s="229"/>
      <c r="CV693" s="229"/>
      <c r="CW693" s="229"/>
    </row>
    <row r="694" ht="15.75" hidden="1" customHeight="1">
      <c r="CD694" s="64"/>
      <c r="CE694" s="65"/>
      <c r="CF694" s="62"/>
      <c r="CG694" s="62"/>
      <c r="CH694" s="66"/>
      <c r="CI694" s="54"/>
      <c r="CJ694" s="54"/>
      <c r="CK694" s="67"/>
      <c r="CL694" s="78"/>
      <c r="CM694" s="70"/>
      <c r="CN694" s="229"/>
      <c r="CO694" s="229"/>
      <c r="CP694" s="229"/>
      <c r="CQ694" s="229"/>
      <c r="CR694" s="229"/>
      <c r="CS694" s="229"/>
      <c r="CT694" s="229"/>
      <c r="CU694" s="229"/>
      <c r="CV694" s="229"/>
      <c r="CW694" s="229"/>
    </row>
    <row r="695" ht="15.75" hidden="1" customHeight="1">
      <c r="CD695" s="64"/>
      <c r="CE695" s="65"/>
      <c r="CF695" s="62"/>
      <c r="CG695" s="62"/>
      <c r="CH695" s="66"/>
      <c r="CI695" s="54"/>
      <c r="CJ695" s="54"/>
      <c r="CK695" s="67"/>
      <c r="CL695" s="78"/>
      <c r="CM695" s="70"/>
      <c r="CN695" s="229"/>
      <c r="CO695" s="229"/>
      <c r="CP695" s="229"/>
      <c r="CQ695" s="229"/>
      <c r="CR695" s="229"/>
      <c r="CS695" s="229"/>
      <c r="CT695" s="229"/>
      <c r="CU695" s="229"/>
      <c r="CV695" s="229"/>
      <c r="CW695" s="229"/>
    </row>
    <row r="696" ht="15.75" hidden="1" customHeight="1">
      <c r="CD696" s="64"/>
      <c r="CE696" s="65"/>
      <c r="CF696" s="62"/>
      <c r="CG696" s="62"/>
      <c r="CH696" s="66"/>
      <c r="CI696" s="54"/>
      <c r="CJ696" s="54"/>
      <c r="CK696" s="67"/>
      <c r="CL696" s="78"/>
      <c r="CM696" s="70"/>
      <c r="CN696" s="229"/>
      <c r="CO696" s="229"/>
      <c r="CP696" s="229"/>
      <c r="CQ696" s="229"/>
      <c r="CR696" s="229"/>
      <c r="CS696" s="229"/>
      <c r="CT696" s="229"/>
      <c r="CU696" s="229"/>
      <c r="CV696" s="229"/>
      <c r="CW696" s="229"/>
    </row>
    <row r="697" ht="15.75" hidden="1" customHeight="1">
      <c r="CD697" s="64"/>
      <c r="CE697" s="65"/>
      <c r="CF697" s="62"/>
      <c r="CG697" s="62"/>
      <c r="CH697" s="66"/>
      <c r="CI697" s="54"/>
      <c r="CJ697" s="54"/>
      <c r="CK697" s="67"/>
      <c r="CL697" s="78"/>
      <c r="CM697" s="70"/>
      <c r="CN697" s="229"/>
      <c r="CO697" s="229"/>
      <c r="CP697" s="229"/>
      <c r="CQ697" s="229"/>
      <c r="CR697" s="229"/>
      <c r="CS697" s="229"/>
      <c r="CT697" s="229"/>
      <c r="CU697" s="229"/>
      <c r="CV697" s="229"/>
      <c r="CW697" s="229"/>
    </row>
    <row r="698" ht="15.75" hidden="1" customHeight="1">
      <c r="CD698" s="64"/>
      <c r="CE698" s="65"/>
      <c r="CF698" s="62"/>
      <c r="CG698" s="62"/>
      <c r="CH698" s="66"/>
      <c r="CI698" s="54"/>
      <c r="CJ698" s="54"/>
      <c r="CK698" s="67"/>
      <c r="CL698" s="78"/>
      <c r="CM698" s="70"/>
      <c r="CN698" s="229"/>
      <c r="CO698" s="229"/>
      <c r="CP698" s="229"/>
      <c r="CQ698" s="229"/>
      <c r="CR698" s="229"/>
      <c r="CS698" s="229"/>
      <c r="CT698" s="229"/>
      <c r="CU698" s="229"/>
      <c r="CV698" s="229"/>
      <c r="CW698" s="229"/>
    </row>
    <row r="699" ht="15.75" hidden="1" customHeight="1">
      <c r="CD699" s="64"/>
      <c r="CE699" s="65"/>
      <c r="CF699" s="62"/>
      <c r="CG699" s="62"/>
      <c r="CH699" s="66"/>
      <c r="CI699" s="54"/>
      <c r="CJ699" s="54"/>
      <c r="CK699" s="67"/>
      <c r="CL699" s="78"/>
      <c r="CM699" s="70"/>
      <c r="CN699" s="229"/>
      <c r="CO699" s="229"/>
      <c r="CP699" s="229"/>
      <c r="CQ699" s="229"/>
      <c r="CR699" s="229"/>
      <c r="CS699" s="229"/>
      <c r="CT699" s="229"/>
      <c r="CU699" s="229"/>
      <c r="CV699" s="229"/>
      <c r="CW699" s="229"/>
    </row>
    <row r="700" ht="15.75" hidden="1" customHeight="1">
      <c r="CD700" s="64"/>
      <c r="CE700" s="65"/>
      <c r="CF700" s="62"/>
      <c r="CG700" s="62"/>
      <c r="CH700" s="66"/>
      <c r="CI700" s="54"/>
      <c r="CJ700" s="54"/>
      <c r="CK700" s="67"/>
      <c r="CL700" s="78"/>
      <c r="CM700" s="70"/>
      <c r="CN700" s="229"/>
      <c r="CO700" s="229"/>
      <c r="CP700" s="229"/>
      <c r="CQ700" s="229"/>
      <c r="CR700" s="229"/>
      <c r="CS700" s="229"/>
      <c r="CT700" s="229"/>
      <c r="CU700" s="229"/>
      <c r="CV700" s="229"/>
      <c r="CW700" s="229"/>
    </row>
    <row r="701" ht="15.75" hidden="1" customHeight="1">
      <c r="CD701" s="64"/>
      <c r="CE701" s="65"/>
      <c r="CF701" s="62"/>
      <c r="CG701" s="62"/>
      <c r="CH701" s="66"/>
      <c r="CI701" s="54"/>
      <c r="CJ701" s="54"/>
      <c r="CK701" s="67"/>
      <c r="CL701" s="78"/>
      <c r="CM701" s="70"/>
      <c r="CN701" s="229"/>
      <c r="CO701" s="229"/>
      <c r="CP701" s="229"/>
      <c r="CQ701" s="229"/>
      <c r="CR701" s="229"/>
      <c r="CS701" s="229"/>
      <c r="CT701" s="229"/>
      <c r="CU701" s="229"/>
      <c r="CV701" s="229"/>
      <c r="CW701" s="229"/>
    </row>
    <row r="702" ht="15.75" hidden="1" customHeight="1">
      <c r="CD702" s="64"/>
      <c r="CE702" s="65"/>
      <c r="CF702" s="62"/>
      <c r="CG702" s="62"/>
      <c r="CH702" s="66"/>
      <c r="CI702" s="54"/>
      <c r="CJ702" s="54"/>
      <c r="CK702" s="67"/>
      <c r="CL702" s="78"/>
      <c r="CM702" s="70"/>
      <c r="CN702" s="229"/>
      <c r="CO702" s="229"/>
      <c r="CP702" s="229"/>
      <c r="CQ702" s="229"/>
      <c r="CR702" s="229"/>
      <c r="CS702" s="229"/>
      <c r="CT702" s="229"/>
      <c r="CU702" s="229"/>
      <c r="CV702" s="229"/>
      <c r="CW702" s="229"/>
    </row>
    <row r="703" ht="15.75" hidden="1" customHeight="1">
      <c r="CD703" s="64"/>
      <c r="CE703" s="65"/>
      <c r="CF703" s="62"/>
      <c r="CG703" s="62"/>
      <c r="CH703" s="66"/>
      <c r="CI703" s="54"/>
      <c r="CJ703" s="54"/>
      <c r="CK703" s="67"/>
      <c r="CL703" s="78"/>
      <c r="CM703" s="70"/>
      <c r="CN703" s="229"/>
      <c r="CO703" s="229"/>
      <c r="CP703" s="229"/>
      <c r="CQ703" s="229"/>
      <c r="CR703" s="229"/>
      <c r="CS703" s="229"/>
      <c r="CT703" s="229"/>
      <c r="CU703" s="229"/>
      <c r="CV703" s="229"/>
      <c r="CW703" s="229"/>
    </row>
    <row r="704" ht="15.75" hidden="1" customHeight="1">
      <c r="CD704" s="64"/>
      <c r="CE704" s="65"/>
      <c r="CF704" s="62"/>
      <c r="CG704" s="62"/>
      <c r="CH704" s="66"/>
      <c r="CI704" s="54"/>
      <c r="CJ704" s="54"/>
      <c r="CK704" s="67"/>
      <c r="CL704" s="78"/>
      <c r="CM704" s="70"/>
      <c r="CN704" s="229"/>
      <c r="CO704" s="229"/>
      <c r="CP704" s="229"/>
      <c r="CQ704" s="229"/>
      <c r="CR704" s="229"/>
      <c r="CS704" s="229"/>
      <c r="CT704" s="229"/>
      <c r="CU704" s="229"/>
      <c r="CV704" s="229"/>
      <c r="CW704" s="229"/>
    </row>
    <row r="705" ht="15.75" hidden="1" customHeight="1">
      <c r="CD705" s="64"/>
      <c r="CE705" s="65"/>
      <c r="CF705" s="62"/>
      <c r="CG705" s="62"/>
      <c r="CH705" s="66"/>
      <c r="CI705" s="54"/>
      <c r="CJ705" s="54"/>
      <c r="CK705" s="67"/>
      <c r="CL705" s="78"/>
      <c r="CM705" s="70"/>
      <c r="CN705" s="229"/>
      <c r="CO705" s="229"/>
      <c r="CP705" s="229"/>
      <c r="CQ705" s="229"/>
      <c r="CR705" s="229"/>
      <c r="CS705" s="229"/>
      <c r="CT705" s="229"/>
      <c r="CU705" s="229"/>
      <c r="CV705" s="229"/>
      <c r="CW705" s="229"/>
    </row>
    <row r="706" ht="15.75" hidden="1" customHeight="1">
      <c r="CD706" s="86"/>
      <c r="CE706" s="87"/>
      <c r="CF706" s="62"/>
      <c r="CG706" s="62"/>
      <c r="CH706" s="88"/>
      <c r="CI706" s="89"/>
      <c r="CJ706" s="89"/>
      <c r="CK706" s="90"/>
      <c r="CL706" s="91"/>
      <c r="CM706" s="92"/>
      <c r="CN706" s="229"/>
      <c r="CO706" s="229"/>
      <c r="CP706" s="229"/>
      <c r="CQ706" s="229"/>
      <c r="CR706" s="229"/>
      <c r="CS706" s="229"/>
      <c r="CT706" s="229"/>
      <c r="CU706" s="229"/>
      <c r="CV706" s="229"/>
      <c r="CW706" s="229"/>
    </row>
    <row r="707" ht="15.75" hidden="1" customHeight="1">
      <c r="CD707" s="64"/>
      <c r="CE707" s="65"/>
      <c r="CF707" s="62"/>
      <c r="CG707" s="62"/>
      <c r="CH707" s="66"/>
      <c r="CI707" s="54"/>
      <c r="CJ707" s="54"/>
      <c r="CK707" s="67"/>
      <c r="CL707" s="78"/>
      <c r="CM707" s="70"/>
      <c r="CN707" s="229"/>
      <c r="CO707" s="229"/>
      <c r="CP707" s="229"/>
      <c r="CQ707" s="229"/>
      <c r="CR707" s="229"/>
      <c r="CS707" s="229"/>
      <c r="CT707" s="229"/>
      <c r="CU707" s="229"/>
      <c r="CV707" s="229"/>
      <c r="CW707" s="229"/>
    </row>
    <row r="708" ht="15.75" hidden="1" customHeight="1">
      <c r="CD708" s="64"/>
      <c r="CE708" s="65"/>
      <c r="CF708" s="62"/>
      <c r="CG708" s="62"/>
      <c r="CH708" s="66"/>
      <c r="CI708" s="54"/>
      <c r="CJ708" s="54"/>
      <c r="CK708" s="67"/>
      <c r="CL708" s="78"/>
      <c r="CM708" s="70"/>
      <c r="CN708" s="229"/>
      <c r="CO708" s="229"/>
      <c r="CP708" s="229"/>
      <c r="CQ708" s="229"/>
      <c r="CR708" s="229"/>
      <c r="CS708" s="229"/>
      <c r="CT708" s="229"/>
      <c r="CU708" s="229"/>
      <c r="CV708" s="229"/>
      <c r="CW708" s="229"/>
    </row>
    <row r="709" ht="15.75" hidden="1" customHeight="1">
      <c r="CD709" s="64"/>
      <c r="CE709" s="65"/>
      <c r="CF709" s="62"/>
      <c r="CG709" s="62"/>
      <c r="CH709" s="66"/>
      <c r="CI709" s="54"/>
      <c r="CJ709" s="54"/>
      <c r="CK709" s="67"/>
      <c r="CL709" s="78"/>
      <c r="CM709" s="70"/>
      <c r="CN709" s="229"/>
      <c r="CO709" s="229"/>
      <c r="CP709" s="229"/>
      <c r="CQ709" s="229"/>
      <c r="CR709" s="229"/>
      <c r="CS709" s="229"/>
      <c r="CT709" s="229"/>
      <c r="CU709" s="229"/>
      <c r="CV709" s="229"/>
      <c r="CW709" s="229"/>
    </row>
    <row r="710" ht="15.75" hidden="1" customHeight="1">
      <c r="CD710" s="64"/>
      <c r="CE710" s="65"/>
      <c r="CF710" s="62"/>
      <c r="CG710" s="62"/>
      <c r="CH710" s="66"/>
      <c r="CI710" s="54"/>
      <c r="CJ710" s="54"/>
      <c r="CK710" s="67"/>
      <c r="CL710" s="78"/>
      <c r="CM710" s="70"/>
      <c r="CN710" s="229"/>
      <c r="CO710" s="229"/>
      <c r="CP710" s="229"/>
      <c r="CQ710" s="229"/>
      <c r="CR710" s="229"/>
      <c r="CS710" s="229"/>
      <c r="CT710" s="229"/>
      <c r="CU710" s="229"/>
      <c r="CV710" s="229"/>
      <c r="CW710" s="229"/>
    </row>
    <row r="711" ht="15.75" hidden="1" customHeight="1">
      <c r="CD711" s="64"/>
      <c r="CE711" s="65"/>
      <c r="CF711" s="62"/>
      <c r="CG711" s="62"/>
      <c r="CH711" s="66"/>
      <c r="CI711" s="54"/>
      <c r="CJ711" s="54"/>
      <c r="CK711" s="67"/>
      <c r="CL711" s="78"/>
      <c r="CM711" s="70"/>
      <c r="CN711" s="229"/>
      <c r="CO711" s="229"/>
      <c r="CP711" s="229"/>
      <c r="CQ711" s="229"/>
      <c r="CR711" s="229"/>
      <c r="CS711" s="229"/>
      <c r="CT711" s="229"/>
      <c r="CU711" s="229"/>
      <c r="CV711" s="229"/>
      <c r="CW711" s="229"/>
    </row>
    <row r="712" ht="15.75" hidden="1" customHeight="1">
      <c r="CD712" s="64"/>
      <c r="CE712" s="65"/>
      <c r="CF712" s="62"/>
      <c r="CG712" s="62"/>
      <c r="CH712" s="66"/>
      <c r="CI712" s="54"/>
      <c r="CJ712" s="54"/>
      <c r="CK712" s="67"/>
      <c r="CL712" s="78"/>
      <c r="CM712" s="70"/>
      <c r="CN712" s="229"/>
      <c r="CO712" s="229"/>
      <c r="CP712" s="229"/>
      <c r="CQ712" s="229"/>
      <c r="CR712" s="229"/>
      <c r="CS712" s="229"/>
      <c r="CT712" s="229"/>
      <c r="CU712" s="229"/>
      <c r="CV712" s="229"/>
      <c r="CW712" s="229"/>
    </row>
    <row r="713" ht="15.75" hidden="1" customHeight="1">
      <c r="CD713" s="64"/>
      <c r="CE713" s="65"/>
      <c r="CF713" s="62"/>
      <c r="CG713" s="62"/>
      <c r="CH713" s="66"/>
      <c r="CI713" s="54"/>
      <c r="CJ713" s="54"/>
      <c r="CK713" s="67"/>
      <c r="CL713" s="78"/>
      <c r="CM713" s="70"/>
      <c r="CN713" s="229"/>
      <c r="CO713" s="229"/>
      <c r="CP713" s="229"/>
      <c r="CQ713" s="229"/>
      <c r="CR713" s="229"/>
      <c r="CS713" s="229"/>
      <c r="CT713" s="229"/>
      <c r="CU713" s="229"/>
      <c r="CV713" s="229"/>
      <c r="CW713" s="229"/>
    </row>
    <row r="714" ht="15.75" hidden="1" customHeight="1">
      <c r="CD714" s="64"/>
      <c r="CE714" s="65"/>
      <c r="CF714" s="62"/>
      <c r="CG714" s="62"/>
      <c r="CH714" s="66"/>
      <c r="CI714" s="54"/>
      <c r="CJ714" s="54"/>
      <c r="CK714" s="67"/>
      <c r="CL714" s="78"/>
      <c r="CM714" s="70"/>
      <c r="CN714" s="229"/>
      <c r="CO714" s="229"/>
      <c r="CP714" s="229"/>
      <c r="CQ714" s="229"/>
      <c r="CR714" s="229"/>
      <c r="CS714" s="229"/>
      <c r="CT714" s="229"/>
      <c r="CU714" s="229"/>
      <c r="CV714" s="229"/>
      <c r="CW714" s="229"/>
    </row>
    <row r="715" ht="15.75" hidden="1" customHeight="1">
      <c r="CD715" s="64"/>
      <c r="CE715" s="65"/>
      <c r="CF715" s="62"/>
      <c r="CG715" s="62"/>
      <c r="CH715" s="66"/>
      <c r="CI715" s="54"/>
      <c r="CJ715" s="54"/>
      <c r="CK715" s="67"/>
      <c r="CL715" s="78"/>
      <c r="CM715" s="70"/>
      <c r="CN715" s="229"/>
      <c r="CO715" s="229"/>
      <c r="CP715" s="229"/>
      <c r="CQ715" s="229"/>
      <c r="CR715" s="229"/>
      <c r="CS715" s="229"/>
      <c r="CT715" s="229"/>
      <c r="CU715" s="229"/>
      <c r="CV715" s="229"/>
      <c r="CW715" s="229"/>
    </row>
    <row r="716" ht="15.75" hidden="1" customHeight="1">
      <c r="CD716" s="64"/>
      <c r="CE716" s="65"/>
      <c r="CF716" s="62"/>
      <c r="CG716" s="62"/>
      <c r="CH716" s="66"/>
      <c r="CI716" s="54"/>
      <c r="CJ716" s="54"/>
      <c r="CK716" s="67"/>
      <c r="CL716" s="78"/>
      <c r="CM716" s="70"/>
      <c r="CN716" s="229"/>
      <c r="CO716" s="229"/>
      <c r="CP716" s="229"/>
      <c r="CQ716" s="229"/>
      <c r="CR716" s="229"/>
      <c r="CS716" s="229"/>
      <c r="CT716" s="229"/>
      <c r="CU716" s="229"/>
      <c r="CV716" s="229"/>
      <c r="CW716" s="229"/>
    </row>
    <row r="717" ht="15.75" hidden="1" customHeight="1">
      <c r="CD717" s="64"/>
      <c r="CE717" s="65"/>
      <c r="CF717" s="62"/>
      <c r="CG717" s="62"/>
      <c r="CH717" s="66"/>
      <c r="CI717" s="54"/>
      <c r="CJ717" s="54"/>
      <c r="CK717" s="67"/>
      <c r="CL717" s="78"/>
      <c r="CM717" s="70"/>
      <c r="CN717" s="229"/>
      <c r="CO717" s="229"/>
      <c r="CP717" s="229"/>
      <c r="CQ717" s="229"/>
      <c r="CR717" s="229"/>
      <c r="CS717" s="229"/>
      <c r="CT717" s="229"/>
      <c r="CU717" s="229"/>
      <c r="CV717" s="229"/>
      <c r="CW717" s="229"/>
    </row>
    <row r="718" ht="15.75" hidden="1" customHeight="1">
      <c r="CD718" s="64"/>
      <c r="CE718" s="65"/>
      <c r="CF718" s="62"/>
      <c r="CG718" s="62"/>
      <c r="CH718" s="66"/>
      <c r="CI718" s="54"/>
      <c r="CJ718" s="54"/>
      <c r="CK718" s="67"/>
      <c r="CL718" s="78"/>
      <c r="CM718" s="70"/>
      <c r="CN718" s="229"/>
      <c r="CO718" s="229"/>
      <c r="CP718" s="229"/>
      <c r="CQ718" s="229"/>
      <c r="CR718" s="229"/>
      <c r="CS718" s="229"/>
      <c r="CT718" s="229"/>
      <c r="CU718" s="229"/>
      <c r="CV718" s="229"/>
      <c r="CW718" s="229"/>
    </row>
    <row r="719" ht="15.75" hidden="1" customHeight="1">
      <c r="CD719" s="64"/>
      <c r="CE719" s="65"/>
      <c r="CF719" s="62"/>
      <c r="CG719" s="62"/>
      <c r="CH719" s="66"/>
      <c r="CI719" s="54"/>
      <c r="CJ719" s="54"/>
      <c r="CK719" s="67"/>
      <c r="CL719" s="78"/>
      <c r="CM719" s="70"/>
      <c r="CN719" s="229"/>
      <c r="CO719" s="229"/>
      <c r="CP719" s="229"/>
      <c r="CQ719" s="229"/>
      <c r="CR719" s="229"/>
      <c r="CS719" s="229"/>
      <c r="CT719" s="229"/>
      <c r="CU719" s="229"/>
      <c r="CV719" s="229"/>
      <c r="CW719" s="229"/>
    </row>
    <row r="720" ht="15.75" hidden="1" customHeight="1">
      <c r="CD720" s="64"/>
      <c r="CE720" s="65"/>
      <c r="CF720" s="62"/>
      <c r="CG720" s="62"/>
      <c r="CH720" s="66"/>
      <c r="CI720" s="54"/>
      <c r="CJ720" s="54"/>
      <c r="CK720" s="67"/>
      <c r="CL720" s="78"/>
      <c r="CM720" s="70"/>
      <c r="CN720" s="229"/>
      <c r="CO720" s="229"/>
      <c r="CP720" s="229"/>
      <c r="CQ720" s="229"/>
      <c r="CR720" s="229"/>
      <c r="CS720" s="229"/>
      <c r="CT720" s="229"/>
      <c r="CU720" s="229"/>
      <c r="CV720" s="229"/>
      <c r="CW720" s="229"/>
    </row>
    <row r="721" ht="15.75" hidden="1" customHeight="1">
      <c r="CD721" s="64"/>
      <c r="CE721" s="65"/>
      <c r="CF721" s="62"/>
      <c r="CG721" s="62"/>
      <c r="CH721" s="66"/>
      <c r="CI721" s="54"/>
      <c r="CJ721" s="54"/>
      <c r="CK721" s="67"/>
      <c r="CL721" s="78"/>
      <c r="CM721" s="70"/>
      <c r="CN721" s="229"/>
      <c r="CO721" s="229"/>
      <c r="CP721" s="229"/>
      <c r="CQ721" s="229"/>
      <c r="CR721" s="229"/>
      <c r="CS721" s="229"/>
      <c r="CT721" s="229"/>
      <c r="CU721" s="229"/>
      <c r="CV721" s="229"/>
      <c r="CW721" s="229"/>
    </row>
    <row r="722" ht="15.75" hidden="1" customHeight="1">
      <c r="CD722" s="64"/>
      <c r="CE722" s="65"/>
      <c r="CF722" s="62"/>
      <c r="CG722" s="62"/>
      <c r="CH722" s="66"/>
      <c r="CI722" s="54"/>
      <c r="CJ722" s="54"/>
      <c r="CK722" s="67"/>
      <c r="CL722" s="78"/>
      <c r="CM722" s="70"/>
      <c r="CN722" s="229"/>
      <c r="CO722" s="229"/>
      <c r="CP722" s="229"/>
      <c r="CQ722" s="229"/>
      <c r="CR722" s="229"/>
      <c r="CS722" s="229"/>
      <c r="CT722" s="229"/>
      <c r="CU722" s="229"/>
      <c r="CV722" s="229"/>
      <c r="CW722" s="229"/>
    </row>
    <row r="723" ht="15.75" hidden="1" customHeight="1">
      <c r="CD723" s="64"/>
      <c r="CE723" s="65"/>
      <c r="CF723" s="62"/>
      <c r="CG723" s="62"/>
      <c r="CH723" s="66"/>
      <c r="CI723" s="54"/>
      <c r="CJ723" s="54"/>
      <c r="CK723" s="67"/>
      <c r="CL723" s="78"/>
      <c r="CM723" s="70"/>
      <c r="CN723" s="229"/>
      <c r="CO723" s="229"/>
      <c r="CP723" s="229"/>
      <c r="CQ723" s="229"/>
      <c r="CR723" s="229"/>
      <c r="CS723" s="229"/>
      <c r="CT723" s="229"/>
      <c r="CU723" s="229"/>
      <c r="CV723" s="229"/>
      <c r="CW723" s="229"/>
    </row>
    <row r="724" ht="15.75" hidden="1" customHeight="1">
      <c r="CD724" s="64"/>
      <c r="CE724" s="65"/>
      <c r="CF724" s="62"/>
      <c r="CG724" s="62"/>
      <c r="CH724" s="66"/>
      <c r="CI724" s="54"/>
      <c r="CJ724" s="54"/>
      <c r="CK724" s="67"/>
      <c r="CL724" s="78"/>
      <c r="CM724" s="70"/>
      <c r="CN724" s="229"/>
      <c r="CO724" s="229"/>
      <c r="CP724" s="229"/>
      <c r="CQ724" s="229"/>
      <c r="CR724" s="229"/>
      <c r="CS724" s="229"/>
      <c r="CT724" s="229"/>
      <c r="CU724" s="229"/>
      <c r="CV724" s="229"/>
      <c r="CW724" s="229"/>
    </row>
    <row r="725" ht="15.75" hidden="1" customHeight="1">
      <c r="CD725" s="64"/>
      <c r="CE725" s="65"/>
      <c r="CF725" s="62"/>
      <c r="CG725" s="62"/>
      <c r="CH725" s="66"/>
      <c r="CI725" s="54"/>
      <c r="CJ725" s="54"/>
      <c r="CK725" s="67"/>
      <c r="CL725" s="78"/>
      <c r="CM725" s="70"/>
      <c r="CN725" s="229"/>
      <c r="CO725" s="229"/>
      <c r="CP725" s="229"/>
      <c r="CQ725" s="229"/>
      <c r="CR725" s="229"/>
      <c r="CS725" s="229"/>
      <c r="CT725" s="229"/>
      <c r="CU725" s="229"/>
      <c r="CV725" s="229"/>
      <c r="CW725" s="229"/>
    </row>
    <row r="726" ht="15.75" hidden="1" customHeight="1">
      <c r="CD726" s="64"/>
      <c r="CE726" s="65"/>
      <c r="CF726" s="62"/>
      <c r="CG726" s="62"/>
      <c r="CH726" s="66"/>
      <c r="CI726" s="54"/>
      <c r="CJ726" s="54"/>
      <c r="CK726" s="67"/>
      <c r="CL726" s="78"/>
      <c r="CM726" s="70"/>
      <c r="CN726" s="229"/>
      <c r="CO726" s="229"/>
      <c r="CP726" s="229"/>
      <c r="CQ726" s="229"/>
      <c r="CR726" s="229"/>
      <c r="CS726" s="229"/>
      <c r="CT726" s="229"/>
      <c r="CU726" s="229"/>
      <c r="CV726" s="229"/>
      <c r="CW726" s="229"/>
    </row>
    <row r="727" ht="15.75" hidden="1" customHeight="1">
      <c r="CD727" s="64"/>
      <c r="CE727" s="65"/>
      <c r="CF727" s="62"/>
      <c r="CG727" s="62"/>
      <c r="CH727" s="66"/>
      <c r="CI727" s="54"/>
      <c r="CJ727" s="54"/>
      <c r="CK727" s="67"/>
      <c r="CL727" s="78"/>
      <c r="CM727" s="70"/>
      <c r="CN727" s="229"/>
      <c r="CO727" s="229"/>
      <c r="CP727" s="229"/>
      <c r="CQ727" s="229"/>
      <c r="CR727" s="229"/>
      <c r="CS727" s="229"/>
      <c r="CT727" s="229"/>
      <c r="CU727" s="229"/>
      <c r="CV727" s="229"/>
      <c r="CW727" s="229"/>
    </row>
    <row r="728" ht="15.75" hidden="1" customHeight="1">
      <c r="CD728" s="64"/>
      <c r="CE728" s="65"/>
      <c r="CF728" s="62"/>
      <c r="CG728" s="62"/>
      <c r="CH728" s="66"/>
      <c r="CI728" s="54"/>
      <c r="CJ728" s="54"/>
      <c r="CK728" s="67"/>
      <c r="CL728" s="78"/>
      <c r="CM728" s="70"/>
      <c r="CN728" s="229"/>
      <c r="CO728" s="229"/>
      <c r="CP728" s="229"/>
      <c r="CQ728" s="229"/>
      <c r="CR728" s="229"/>
      <c r="CS728" s="229"/>
      <c r="CT728" s="229"/>
      <c r="CU728" s="229"/>
      <c r="CV728" s="229"/>
      <c r="CW728" s="229"/>
    </row>
    <row r="729" ht="15.75" hidden="1" customHeight="1">
      <c r="CD729" s="64"/>
      <c r="CE729" s="65"/>
      <c r="CF729" s="62"/>
      <c r="CG729" s="62"/>
      <c r="CH729" s="66"/>
      <c r="CI729" s="54"/>
      <c r="CJ729" s="54"/>
      <c r="CK729" s="67"/>
      <c r="CL729" s="78"/>
      <c r="CM729" s="70"/>
      <c r="CN729" s="229"/>
      <c r="CO729" s="229"/>
      <c r="CP729" s="229"/>
      <c r="CQ729" s="229"/>
      <c r="CR729" s="229"/>
      <c r="CS729" s="229"/>
      <c r="CT729" s="229"/>
      <c r="CU729" s="229"/>
      <c r="CV729" s="229"/>
      <c r="CW729" s="229"/>
    </row>
    <row r="730" ht="15.75" hidden="1" customHeight="1">
      <c r="CD730" s="86"/>
      <c r="CE730" s="87"/>
      <c r="CF730" s="62"/>
      <c r="CG730" s="62"/>
      <c r="CH730" s="88"/>
      <c r="CI730" s="89"/>
      <c r="CJ730" s="89"/>
      <c r="CK730" s="90"/>
      <c r="CL730" s="91"/>
      <c r="CM730" s="92"/>
      <c r="CN730" s="229"/>
      <c r="CO730" s="229"/>
      <c r="CP730" s="229"/>
      <c r="CQ730" s="229"/>
      <c r="CR730" s="229"/>
      <c r="CS730" s="229"/>
      <c r="CT730" s="229"/>
      <c r="CU730" s="229"/>
      <c r="CV730" s="229"/>
      <c r="CW730" s="229"/>
    </row>
    <row r="731" ht="15.75" hidden="1" customHeight="1">
      <c r="CD731" s="64"/>
      <c r="CE731" s="65"/>
      <c r="CF731" s="62"/>
      <c r="CG731" s="62"/>
      <c r="CH731" s="66"/>
      <c r="CI731" s="54"/>
      <c r="CJ731" s="54"/>
      <c r="CK731" s="67"/>
      <c r="CL731" s="78"/>
      <c r="CM731" s="70"/>
      <c r="CN731" s="229"/>
      <c r="CO731" s="229"/>
      <c r="CP731" s="229"/>
      <c r="CQ731" s="229"/>
      <c r="CR731" s="229"/>
      <c r="CS731" s="229"/>
      <c r="CT731" s="229"/>
      <c r="CU731" s="229"/>
      <c r="CV731" s="229"/>
      <c r="CW731" s="229"/>
    </row>
    <row r="732" ht="15.75" hidden="1" customHeight="1">
      <c r="CD732" s="64"/>
      <c r="CE732" s="65"/>
      <c r="CF732" s="62"/>
      <c r="CG732" s="62"/>
      <c r="CH732" s="66"/>
      <c r="CI732" s="54"/>
      <c r="CJ732" s="54"/>
      <c r="CK732" s="67"/>
      <c r="CL732" s="78"/>
      <c r="CM732" s="70"/>
      <c r="CN732" s="229"/>
      <c r="CO732" s="229"/>
      <c r="CP732" s="229"/>
      <c r="CQ732" s="229"/>
      <c r="CR732" s="229"/>
      <c r="CS732" s="229"/>
      <c r="CT732" s="229"/>
      <c r="CU732" s="229"/>
      <c r="CV732" s="229"/>
      <c r="CW732" s="229"/>
    </row>
    <row r="733" ht="15.75" hidden="1" customHeight="1">
      <c r="CD733" s="64"/>
      <c r="CE733" s="65"/>
      <c r="CF733" s="62"/>
      <c r="CG733" s="62"/>
      <c r="CH733" s="66"/>
      <c r="CI733" s="54"/>
      <c r="CJ733" s="54"/>
      <c r="CK733" s="67"/>
      <c r="CL733" s="78"/>
      <c r="CM733" s="70"/>
      <c r="CN733" s="229"/>
      <c r="CO733" s="229"/>
      <c r="CP733" s="229"/>
      <c r="CQ733" s="229"/>
      <c r="CR733" s="229"/>
      <c r="CS733" s="229"/>
      <c r="CT733" s="229"/>
      <c r="CU733" s="229"/>
      <c r="CV733" s="229"/>
      <c r="CW733" s="229"/>
    </row>
    <row r="734" ht="15.75" hidden="1" customHeight="1">
      <c r="CD734" s="64"/>
      <c r="CE734" s="65"/>
      <c r="CF734" s="62"/>
      <c r="CG734" s="62"/>
      <c r="CH734" s="66"/>
      <c r="CI734" s="54"/>
      <c r="CJ734" s="54"/>
      <c r="CK734" s="67"/>
      <c r="CL734" s="78"/>
      <c r="CM734" s="70"/>
      <c r="CN734" s="229"/>
      <c r="CO734" s="229"/>
      <c r="CP734" s="229"/>
      <c r="CQ734" s="229"/>
      <c r="CR734" s="229"/>
      <c r="CS734" s="229"/>
      <c r="CT734" s="229"/>
      <c r="CU734" s="229"/>
      <c r="CV734" s="229"/>
      <c r="CW734" s="229"/>
    </row>
    <row r="735" ht="15.75" hidden="1" customHeight="1">
      <c r="CD735" s="64"/>
      <c r="CE735" s="65"/>
      <c r="CF735" s="62"/>
      <c r="CG735" s="62"/>
      <c r="CH735" s="66"/>
      <c r="CI735" s="54"/>
      <c r="CJ735" s="54"/>
      <c r="CK735" s="67"/>
      <c r="CL735" s="78"/>
      <c r="CM735" s="70"/>
      <c r="CN735" s="229"/>
      <c r="CO735" s="229"/>
      <c r="CP735" s="229"/>
      <c r="CQ735" s="229"/>
      <c r="CR735" s="229"/>
      <c r="CS735" s="229"/>
      <c r="CT735" s="229"/>
      <c r="CU735" s="229"/>
      <c r="CV735" s="229"/>
      <c r="CW735" s="229"/>
    </row>
    <row r="736" ht="15.75" hidden="1" customHeight="1">
      <c r="CD736" s="64"/>
      <c r="CE736" s="65"/>
      <c r="CF736" s="62"/>
      <c r="CG736" s="62"/>
      <c r="CH736" s="66"/>
      <c r="CI736" s="54"/>
      <c r="CJ736" s="54"/>
      <c r="CK736" s="67"/>
      <c r="CL736" s="78"/>
      <c r="CM736" s="70"/>
      <c r="CN736" s="229"/>
      <c r="CO736" s="229"/>
      <c r="CP736" s="229"/>
      <c r="CQ736" s="229"/>
      <c r="CR736" s="229"/>
      <c r="CS736" s="229"/>
      <c r="CT736" s="229"/>
      <c r="CU736" s="229"/>
      <c r="CV736" s="229"/>
      <c r="CW736" s="229"/>
    </row>
    <row r="737" ht="15.75" hidden="1" customHeight="1">
      <c r="CD737" s="64"/>
      <c r="CE737" s="65"/>
      <c r="CF737" s="62"/>
      <c r="CG737" s="62"/>
      <c r="CH737" s="66"/>
      <c r="CI737" s="54"/>
      <c r="CJ737" s="54"/>
      <c r="CK737" s="67"/>
      <c r="CL737" s="78"/>
      <c r="CM737" s="70"/>
      <c r="CN737" s="229"/>
      <c r="CO737" s="229"/>
      <c r="CP737" s="229"/>
      <c r="CQ737" s="229"/>
      <c r="CR737" s="229"/>
      <c r="CS737" s="229"/>
      <c r="CT737" s="229"/>
      <c r="CU737" s="229"/>
      <c r="CV737" s="229"/>
      <c r="CW737" s="229"/>
    </row>
    <row r="738" ht="15.75" hidden="1" customHeight="1">
      <c r="CD738" s="64"/>
      <c r="CE738" s="65"/>
      <c r="CF738" s="62"/>
      <c r="CG738" s="62"/>
      <c r="CH738" s="66"/>
      <c r="CI738" s="54"/>
      <c r="CJ738" s="54"/>
      <c r="CK738" s="67"/>
      <c r="CL738" s="78"/>
      <c r="CM738" s="70"/>
      <c r="CN738" s="229"/>
      <c r="CO738" s="229"/>
      <c r="CP738" s="229"/>
      <c r="CQ738" s="229"/>
      <c r="CR738" s="229"/>
      <c r="CS738" s="229"/>
      <c r="CT738" s="229"/>
      <c r="CU738" s="229"/>
      <c r="CV738" s="229"/>
      <c r="CW738" s="229"/>
    </row>
    <row r="739" ht="15.75" hidden="1" customHeight="1">
      <c r="CD739" s="64"/>
      <c r="CE739" s="65"/>
      <c r="CF739" s="62"/>
      <c r="CG739" s="62"/>
      <c r="CH739" s="66"/>
      <c r="CI739" s="54"/>
      <c r="CJ739" s="54"/>
      <c r="CK739" s="67"/>
      <c r="CL739" s="78"/>
      <c r="CM739" s="70"/>
      <c r="CN739" s="229"/>
      <c r="CO739" s="229"/>
      <c r="CP739" s="229"/>
      <c r="CQ739" s="229"/>
      <c r="CR739" s="229"/>
      <c r="CS739" s="229"/>
      <c r="CT739" s="229"/>
      <c r="CU739" s="229"/>
      <c r="CV739" s="229"/>
      <c r="CW739" s="229"/>
    </row>
    <row r="740" ht="15.75" hidden="1" customHeight="1">
      <c r="CD740" s="64"/>
      <c r="CE740" s="65"/>
      <c r="CF740" s="62"/>
      <c r="CG740" s="62"/>
      <c r="CH740" s="66"/>
      <c r="CI740" s="54"/>
      <c r="CJ740" s="54"/>
      <c r="CK740" s="67"/>
      <c r="CL740" s="78"/>
      <c r="CM740" s="70"/>
      <c r="CN740" s="229"/>
      <c r="CO740" s="229"/>
      <c r="CP740" s="229"/>
      <c r="CQ740" s="229"/>
      <c r="CR740" s="229"/>
      <c r="CS740" s="229"/>
      <c r="CT740" s="229"/>
      <c r="CU740" s="229"/>
      <c r="CV740" s="229"/>
      <c r="CW740" s="229"/>
    </row>
    <row r="741" ht="15.75" hidden="1" customHeight="1">
      <c r="CD741" s="64"/>
      <c r="CE741" s="65"/>
      <c r="CF741" s="62"/>
      <c r="CG741" s="62"/>
      <c r="CH741" s="66"/>
      <c r="CI741" s="54"/>
      <c r="CJ741" s="54"/>
      <c r="CK741" s="67"/>
      <c r="CL741" s="78"/>
      <c r="CM741" s="70"/>
      <c r="CN741" s="229"/>
      <c r="CO741" s="229"/>
      <c r="CP741" s="229"/>
      <c r="CQ741" s="229"/>
      <c r="CR741" s="229"/>
      <c r="CS741" s="229"/>
      <c r="CT741" s="229"/>
      <c r="CU741" s="229"/>
      <c r="CV741" s="229"/>
      <c r="CW741" s="229"/>
    </row>
    <row r="742" ht="15.75" hidden="1" customHeight="1">
      <c r="CD742" s="64"/>
      <c r="CE742" s="65"/>
      <c r="CF742" s="62"/>
      <c r="CG742" s="62"/>
      <c r="CH742" s="66"/>
      <c r="CI742" s="54"/>
      <c r="CJ742" s="54"/>
      <c r="CK742" s="67"/>
      <c r="CL742" s="78"/>
      <c r="CM742" s="70"/>
      <c r="CN742" s="229"/>
      <c r="CO742" s="229"/>
      <c r="CP742" s="229"/>
      <c r="CQ742" s="229"/>
      <c r="CR742" s="229"/>
      <c r="CS742" s="229"/>
      <c r="CT742" s="229"/>
      <c r="CU742" s="229"/>
      <c r="CV742" s="229"/>
      <c r="CW742" s="229"/>
    </row>
    <row r="743" ht="15.75" hidden="1" customHeight="1">
      <c r="CD743" s="64"/>
      <c r="CE743" s="65"/>
      <c r="CF743" s="62"/>
      <c r="CG743" s="62"/>
      <c r="CH743" s="66"/>
      <c r="CI743" s="54"/>
      <c r="CJ743" s="54"/>
      <c r="CK743" s="67"/>
      <c r="CL743" s="78"/>
      <c r="CM743" s="70"/>
      <c r="CN743" s="229"/>
      <c r="CO743" s="229"/>
      <c r="CP743" s="229"/>
      <c r="CQ743" s="229"/>
      <c r="CR743" s="229"/>
      <c r="CS743" s="229"/>
      <c r="CT743" s="229"/>
      <c r="CU743" s="229"/>
      <c r="CV743" s="229"/>
      <c r="CW743" s="229"/>
    </row>
    <row r="744" ht="15.75" hidden="1" customHeight="1">
      <c r="CD744" s="64"/>
      <c r="CE744" s="65"/>
      <c r="CF744" s="62"/>
      <c r="CG744" s="62"/>
      <c r="CH744" s="66"/>
      <c r="CI744" s="54"/>
      <c r="CJ744" s="54"/>
      <c r="CK744" s="67"/>
      <c r="CL744" s="78"/>
      <c r="CM744" s="70"/>
      <c r="CN744" s="229"/>
      <c r="CO744" s="229"/>
      <c r="CP744" s="229"/>
      <c r="CQ744" s="229"/>
      <c r="CR744" s="229"/>
      <c r="CS744" s="229"/>
      <c r="CT744" s="229"/>
      <c r="CU744" s="229"/>
      <c r="CV744" s="229"/>
      <c r="CW744" s="229"/>
    </row>
    <row r="745" ht="15.75" hidden="1" customHeight="1">
      <c r="CD745" s="64"/>
      <c r="CE745" s="65"/>
      <c r="CF745" s="62"/>
      <c r="CG745" s="62"/>
      <c r="CH745" s="66"/>
      <c r="CI745" s="54"/>
      <c r="CJ745" s="54"/>
      <c r="CK745" s="67"/>
      <c r="CL745" s="78"/>
      <c r="CM745" s="70"/>
      <c r="CN745" s="229"/>
      <c r="CO745" s="229"/>
      <c r="CP745" s="229"/>
      <c r="CQ745" s="229"/>
      <c r="CR745" s="229"/>
      <c r="CS745" s="229"/>
      <c r="CT745" s="229"/>
      <c r="CU745" s="229"/>
      <c r="CV745" s="229"/>
      <c r="CW745" s="229"/>
    </row>
    <row r="746" ht="15.75" hidden="1" customHeight="1">
      <c r="CD746" s="64"/>
      <c r="CE746" s="65"/>
      <c r="CF746" s="62"/>
      <c r="CG746" s="62"/>
      <c r="CH746" s="66"/>
      <c r="CI746" s="54"/>
      <c r="CJ746" s="54"/>
      <c r="CK746" s="67"/>
      <c r="CL746" s="78"/>
      <c r="CM746" s="70"/>
      <c r="CN746" s="229"/>
      <c r="CO746" s="229"/>
      <c r="CP746" s="229"/>
      <c r="CQ746" s="229"/>
      <c r="CR746" s="229"/>
      <c r="CS746" s="229"/>
      <c r="CT746" s="229"/>
      <c r="CU746" s="229"/>
      <c r="CV746" s="229"/>
      <c r="CW746" s="229"/>
    </row>
    <row r="747" ht="15.75" hidden="1" customHeight="1">
      <c r="CD747" s="64"/>
      <c r="CE747" s="65"/>
      <c r="CF747" s="62"/>
      <c r="CG747" s="62"/>
      <c r="CH747" s="66"/>
      <c r="CI747" s="54"/>
      <c r="CJ747" s="54"/>
      <c r="CK747" s="67"/>
      <c r="CL747" s="78"/>
      <c r="CM747" s="70"/>
      <c r="CN747" s="229"/>
      <c r="CO747" s="229"/>
      <c r="CP747" s="229"/>
      <c r="CQ747" s="229"/>
      <c r="CR747" s="229"/>
      <c r="CS747" s="229"/>
      <c r="CT747" s="229"/>
      <c r="CU747" s="229"/>
      <c r="CV747" s="229"/>
      <c r="CW747" s="229"/>
    </row>
    <row r="748" ht="15.75" hidden="1" customHeight="1">
      <c r="CD748" s="64"/>
      <c r="CE748" s="65"/>
      <c r="CF748" s="62"/>
      <c r="CG748" s="62"/>
      <c r="CH748" s="66"/>
      <c r="CI748" s="54"/>
      <c r="CJ748" s="54"/>
      <c r="CK748" s="67"/>
      <c r="CL748" s="78"/>
      <c r="CM748" s="70"/>
      <c r="CN748" s="229"/>
      <c r="CO748" s="229"/>
      <c r="CP748" s="229"/>
      <c r="CQ748" s="229"/>
      <c r="CR748" s="229"/>
      <c r="CS748" s="229"/>
      <c r="CT748" s="229"/>
      <c r="CU748" s="229"/>
      <c r="CV748" s="229"/>
      <c r="CW748" s="229"/>
    </row>
    <row r="749" ht="15.75" hidden="1" customHeight="1">
      <c r="CD749" s="64"/>
      <c r="CE749" s="65"/>
      <c r="CF749" s="62"/>
      <c r="CG749" s="62"/>
      <c r="CH749" s="66"/>
      <c r="CI749" s="54"/>
      <c r="CJ749" s="54"/>
      <c r="CK749" s="67"/>
      <c r="CL749" s="78"/>
      <c r="CM749" s="70"/>
      <c r="CN749" s="229"/>
      <c r="CO749" s="229"/>
      <c r="CP749" s="229"/>
      <c r="CQ749" s="229"/>
      <c r="CR749" s="229"/>
      <c r="CS749" s="229"/>
      <c r="CT749" s="229"/>
      <c r="CU749" s="229"/>
      <c r="CV749" s="229"/>
      <c r="CW749" s="229"/>
    </row>
    <row r="750" ht="15.75" hidden="1" customHeight="1">
      <c r="CD750" s="64"/>
      <c r="CE750" s="65"/>
      <c r="CF750" s="62"/>
      <c r="CG750" s="62"/>
      <c r="CH750" s="66"/>
      <c r="CI750" s="54"/>
      <c r="CJ750" s="54"/>
      <c r="CK750" s="67"/>
      <c r="CL750" s="78"/>
      <c r="CM750" s="70"/>
      <c r="CN750" s="229"/>
      <c r="CO750" s="229"/>
      <c r="CP750" s="229"/>
      <c r="CQ750" s="229"/>
      <c r="CR750" s="229"/>
      <c r="CS750" s="229"/>
      <c r="CT750" s="229"/>
      <c r="CU750" s="229"/>
      <c r="CV750" s="229"/>
      <c r="CW750" s="229"/>
    </row>
    <row r="751" ht="15.75" hidden="1" customHeight="1">
      <c r="CD751" s="64"/>
      <c r="CE751" s="65"/>
      <c r="CF751" s="62"/>
      <c r="CG751" s="62"/>
      <c r="CH751" s="66"/>
      <c r="CI751" s="54"/>
      <c r="CJ751" s="54"/>
      <c r="CK751" s="67"/>
      <c r="CL751" s="78"/>
      <c r="CM751" s="70"/>
      <c r="CN751" s="229"/>
      <c r="CO751" s="229"/>
      <c r="CP751" s="229"/>
      <c r="CQ751" s="229"/>
      <c r="CR751" s="229"/>
      <c r="CS751" s="229"/>
      <c r="CT751" s="229"/>
      <c r="CU751" s="229"/>
      <c r="CV751" s="229"/>
      <c r="CW751" s="229"/>
    </row>
    <row r="752" ht="15.75" hidden="1" customHeight="1">
      <c r="CD752" s="64"/>
      <c r="CE752" s="65"/>
      <c r="CF752" s="62"/>
      <c r="CG752" s="62"/>
      <c r="CH752" s="66"/>
      <c r="CI752" s="54"/>
      <c r="CJ752" s="54"/>
      <c r="CK752" s="67"/>
      <c r="CL752" s="78"/>
      <c r="CM752" s="70"/>
      <c r="CN752" s="229"/>
      <c r="CO752" s="229"/>
      <c r="CP752" s="229"/>
      <c r="CQ752" s="229"/>
      <c r="CR752" s="229"/>
      <c r="CS752" s="229"/>
      <c r="CT752" s="229"/>
      <c r="CU752" s="229"/>
      <c r="CV752" s="229"/>
      <c r="CW752" s="229"/>
    </row>
    <row r="753" ht="15.75" hidden="1" customHeight="1">
      <c r="CD753" s="64"/>
      <c r="CE753" s="65"/>
      <c r="CF753" s="62"/>
      <c r="CG753" s="62"/>
      <c r="CH753" s="66"/>
      <c r="CI753" s="54"/>
      <c r="CJ753" s="54"/>
      <c r="CK753" s="67"/>
      <c r="CL753" s="78"/>
      <c r="CM753" s="70"/>
      <c r="CN753" s="229"/>
      <c r="CO753" s="229"/>
      <c r="CP753" s="229"/>
      <c r="CQ753" s="229"/>
      <c r="CR753" s="229"/>
      <c r="CS753" s="229"/>
      <c r="CT753" s="229"/>
      <c r="CU753" s="229"/>
      <c r="CV753" s="229"/>
      <c r="CW753" s="229"/>
    </row>
    <row r="754" ht="15.75" hidden="1" customHeight="1">
      <c r="CD754" s="64"/>
      <c r="CE754" s="65"/>
      <c r="CF754" s="62"/>
      <c r="CG754" s="62"/>
      <c r="CH754" s="66"/>
      <c r="CI754" s="54"/>
      <c r="CJ754" s="54"/>
      <c r="CK754" s="67"/>
      <c r="CL754" s="78"/>
      <c r="CM754" s="70"/>
      <c r="CN754" s="229"/>
      <c r="CO754" s="229"/>
      <c r="CP754" s="229"/>
      <c r="CQ754" s="229"/>
      <c r="CR754" s="229"/>
      <c r="CS754" s="229"/>
      <c r="CT754" s="229"/>
      <c r="CU754" s="229"/>
      <c r="CV754" s="229"/>
      <c r="CW754" s="229"/>
    </row>
    <row r="755" ht="15.75" hidden="1" customHeight="1">
      <c r="CD755" s="64"/>
      <c r="CE755" s="65"/>
      <c r="CF755" s="55"/>
      <c r="CG755" s="55"/>
      <c r="CH755" s="66"/>
      <c r="CI755" s="54"/>
      <c r="CJ755" s="54"/>
      <c r="CK755" s="67"/>
      <c r="CL755" s="78"/>
      <c r="CM755" s="70"/>
      <c r="CN755" s="229"/>
      <c r="CO755" s="229"/>
      <c r="CP755" s="229"/>
      <c r="CQ755" s="229"/>
      <c r="CR755" s="229"/>
      <c r="CS755" s="229"/>
      <c r="CT755" s="229"/>
      <c r="CU755" s="229"/>
      <c r="CV755" s="229"/>
      <c r="CW755" s="229"/>
    </row>
    <row r="756" ht="15.75" hidden="1" customHeight="1">
      <c r="CD756" s="45"/>
      <c r="CE756" s="46"/>
      <c r="CF756" s="46"/>
      <c r="CG756" s="46"/>
      <c r="CH756" s="46"/>
      <c r="CI756" s="46"/>
      <c r="CJ756" s="46"/>
      <c r="CK756" s="46"/>
      <c r="CL756" s="46"/>
      <c r="CM756" s="106"/>
      <c r="CN756" s="229"/>
      <c r="CO756" s="229"/>
      <c r="CP756" s="229"/>
      <c r="CQ756" s="229"/>
      <c r="CR756" s="229"/>
      <c r="CS756" s="229"/>
      <c r="CT756" s="229"/>
      <c r="CU756" s="229"/>
      <c r="CV756" s="229"/>
      <c r="CW756" s="229"/>
    </row>
    <row r="757" ht="15.75" hidden="1" customHeight="1">
      <c r="CD757" s="64"/>
      <c r="CE757" s="54"/>
      <c r="CF757" s="55"/>
      <c r="CG757" s="55"/>
      <c r="CH757" s="54"/>
      <c r="CI757" s="54"/>
      <c r="CJ757" s="54"/>
      <c r="CK757" s="16"/>
      <c r="CL757" s="55"/>
      <c r="CM757" s="70"/>
      <c r="CN757" s="229"/>
      <c r="CO757" s="229"/>
      <c r="CP757" s="229"/>
      <c r="CQ757" s="229"/>
      <c r="CR757" s="229"/>
      <c r="CS757" s="229"/>
      <c r="CT757" s="229"/>
      <c r="CU757" s="229"/>
      <c r="CV757" s="229"/>
      <c r="CW757" s="229"/>
    </row>
    <row r="758" ht="15.75" hidden="1" customHeight="1">
      <c r="CD758" s="64"/>
      <c r="CE758" s="109"/>
      <c r="CF758" s="55"/>
      <c r="CG758" s="55"/>
      <c r="CH758" s="54"/>
      <c r="CI758" s="54"/>
      <c r="CJ758" s="54"/>
      <c r="CK758" s="54"/>
      <c r="CL758" s="55"/>
      <c r="CM758" s="70"/>
      <c r="CN758" s="229"/>
      <c r="CO758" s="229"/>
      <c r="CP758" s="229"/>
      <c r="CQ758" s="229"/>
      <c r="CR758" s="229"/>
      <c r="CS758" s="229"/>
      <c r="CT758" s="229"/>
      <c r="CU758" s="229"/>
      <c r="CV758" s="229"/>
      <c r="CW758" s="229"/>
    </row>
    <row r="759" ht="15.75" hidden="1" customHeight="1">
      <c r="CD759" s="115"/>
      <c r="CE759" s="119"/>
      <c r="CF759" s="120"/>
      <c r="CG759" s="116"/>
      <c r="CH759" s="117"/>
      <c r="CI759" s="116"/>
      <c r="CJ759" s="118"/>
      <c r="CK759" s="117"/>
      <c r="CL759" s="55"/>
      <c r="CM759" s="70"/>
      <c r="CN759" s="229"/>
      <c r="CO759" s="229"/>
      <c r="CP759" s="229"/>
      <c r="CQ759" s="229"/>
      <c r="CR759" s="229"/>
      <c r="CS759" s="229"/>
      <c r="CT759" s="229"/>
      <c r="CU759" s="229"/>
      <c r="CV759" s="229"/>
      <c r="CW759" s="229"/>
    </row>
    <row r="760" ht="15.75" hidden="1" customHeight="1">
      <c r="CD760" s="127"/>
      <c r="CE760" s="128"/>
      <c r="CF760" s="126"/>
      <c r="CG760" s="128"/>
      <c r="CH760" s="126"/>
      <c r="CI760" s="129"/>
      <c r="CJ760" s="130"/>
      <c r="CK760" s="131"/>
      <c r="CL760" s="55"/>
      <c r="CM760" s="40"/>
      <c r="CN760" s="229"/>
      <c r="CO760" s="229"/>
      <c r="CP760" s="229"/>
      <c r="CQ760" s="229"/>
      <c r="CR760" s="229"/>
      <c r="CS760" s="229"/>
      <c r="CT760" s="229"/>
      <c r="CU760" s="229"/>
      <c r="CV760" s="229"/>
      <c r="CW760" s="229"/>
    </row>
    <row r="761" ht="15.75" hidden="1" customHeight="1">
      <c r="CD761" s="127"/>
      <c r="CE761" s="128"/>
      <c r="CF761" s="126"/>
      <c r="CG761" s="128"/>
      <c r="CH761" s="126"/>
      <c r="CI761" s="129"/>
      <c r="CJ761" s="130"/>
      <c r="CK761" s="131"/>
      <c r="CL761" s="55"/>
      <c r="CM761" s="40"/>
      <c r="CN761" s="229"/>
      <c r="CO761" s="229"/>
      <c r="CP761" s="229"/>
      <c r="CQ761" s="229"/>
      <c r="CR761" s="229"/>
      <c r="CS761" s="229"/>
      <c r="CT761" s="229"/>
      <c r="CU761" s="229"/>
      <c r="CV761" s="229"/>
      <c r="CW761" s="229"/>
    </row>
    <row r="762" ht="15.75" hidden="1" customHeight="1">
      <c r="CD762" s="127"/>
      <c r="CE762" s="128"/>
      <c r="CF762" s="126"/>
      <c r="CG762" s="128"/>
      <c r="CH762" s="126"/>
      <c r="CI762" s="129"/>
      <c r="CJ762" s="130"/>
      <c r="CK762" s="131"/>
      <c r="CL762" s="55"/>
      <c r="CM762" s="40"/>
      <c r="CN762" s="229"/>
      <c r="CO762" s="229"/>
      <c r="CP762" s="229"/>
      <c r="CQ762" s="229"/>
      <c r="CR762" s="229"/>
      <c r="CS762" s="229"/>
      <c r="CT762" s="229"/>
      <c r="CU762" s="229"/>
      <c r="CV762" s="229"/>
      <c r="CW762" s="229"/>
    </row>
    <row r="763" ht="15.75" hidden="1" customHeight="1">
      <c r="CD763" s="127"/>
      <c r="CE763" s="128"/>
      <c r="CF763" s="126"/>
      <c r="CG763" s="128"/>
      <c r="CH763" s="126"/>
      <c r="CI763" s="129"/>
      <c r="CJ763" s="130"/>
      <c r="CK763" s="131"/>
      <c r="CL763" s="55"/>
      <c r="CM763" s="40"/>
      <c r="CN763" s="229"/>
      <c r="CO763" s="229"/>
      <c r="CP763" s="229"/>
      <c r="CQ763" s="229"/>
      <c r="CR763" s="229"/>
      <c r="CS763" s="229"/>
      <c r="CT763" s="229"/>
      <c r="CU763" s="229"/>
      <c r="CV763" s="229"/>
      <c r="CW763" s="229"/>
    </row>
    <row r="764" ht="15.75" hidden="1" customHeight="1">
      <c r="CD764" s="143"/>
      <c r="CE764" s="128"/>
      <c r="CF764" s="126"/>
      <c r="CG764" s="128"/>
      <c r="CH764" s="126"/>
      <c r="CI764" s="129"/>
      <c r="CJ764" s="130"/>
      <c r="CK764" s="131"/>
      <c r="CL764" s="55"/>
      <c r="CM764" s="40"/>
      <c r="CN764" s="229"/>
      <c r="CO764" s="229"/>
      <c r="CP764" s="229"/>
      <c r="CQ764" s="229"/>
      <c r="CR764" s="229"/>
      <c r="CS764" s="229"/>
      <c r="CT764" s="229"/>
      <c r="CU764" s="229"/>
      <c r="CV764" s="229"/>
      <c r="CW764" s="229"/>
    </row>
    <row r="765" ht="15.75" hidden="1" customHeight="1">
      <c r="CD765" s="143"/>
      <c r="CE765" s="128"/>
      <c r="CF765" s="126"/>
      <c r="CG765" s="128"/>
      <c r="CH765" s="126"/>
      <c r="CI765" s="129"/>
      <c r="CJ765" s="130"/>
      <c r="CK765" s="131"/>
      <c r="CL765" s="55"/>
      <c r="CM765" s="40"/>
      <c r="CN765" s="229"/>
      <c r="CO765" s="229"/>
      <c r="CP765" s="229"/>
      <c r="CQ765" s="229"/>
      <c r="CR765" s="229"/>
      <c r="CS765" s="229"/>
      <c r="CT765" s="229"/>
      <c r="CU765" s="229"/>
      <c r="CV765" s="229"/>
      <c r="CW765" s="229"/>
    </row>
    <row r="766" ht="15.75" hidden="1" customHeight="1">
      <c r="CD766" s="143"/>
      <c r="CE766" s="128"/>
      <c r="CF766" s="126"/>
      <c r="CG766" s="128"/>
      <c r="CH766" s="126"/>
      <c r="CI766" s="129"/>
      <c r="CJ766" s="130"/>
      <c r="CK766" s="131"/>
      <c r="CL766" s="55"/>
      <c r="CM766" s="40"/>
      <c r="CN766" s="229"/>
      <c r="CO766" s="229"/>
      <c r="CP766" s="229"/>
      <c r="CQ766" s="229"/>
      <c r="CR766" s="229"/>
      <c r="CS766" s="229"/>
      <c r="CT766" s="229"/>
      <c r="CU766" s="229"/>
      <c r="CV766" s="229"/>
      <c r="CW766" s="229"/>
    </row>
    <row r="767" ht="15.75" hidden="1" customHeight="1">
      <c r="CD767" s="143"/>
      <c r="CE767" s="128"/>
      <c r="CF767" s="126"/>
      <c r="CG767" s="128"/>
      <c r="CH767" s="126"/>
      <c r="CI767" s="129"/>
      <c r="CJ767" s="130"/>
      <c r="CK767" s="131"/>
      <c r="CL767" s="55"/>
      <c r="CM767" s="40"/>
      <c r="CN767" s="229"/>
      <c r="CO767" s="229"/>
      <c r="CP767" s="229"/>
      <c r="CQ767" s="229"/>
      <c r="CR767" s="229"/>
      <c r="CS767" s="229"/>
      <c r="CT767" s="229"/>
      <c r="CU767" s="229"/>
      <c r="CV767" s="229"/>
      <c r="CW767" s="229"/>
    </row>
    <row r="768" ht="15.75" hidden="1" customHeight="1">
      <c r="CD768" s="145"/>
      <c r="CE768" s="128"/>
      <c r="CF768" s="126"/>
      <c r="CG768" s="128"/>
      <c r="CH768" s="126"/>
      <c r="CI768" s="129"/>
      <c r="CJ768" s="130"/>
      <c r="CK768" s="131"/>
      <c r="CL768" s="55"/>
      <c r="CM768" s="40"/>
      <c r="CN768" s="229"/>
      <c r="CO768" s="229"/>
      <c r="CP768" s="229"/>
      <c r="CQ768" s="229"/>
      <c r="CR768" s="229"/>
      <c r="CS768" s="229"/>
      <c r="CT768" s="229"/>
      <c r="CU768" s="229"/>
      <c r="CV768" s="229"/>
      <c r="CW768" s="229"/>
    </row>
    <row r="769" ht="15.75" hidden="1" customHeight="1">
      <c r="CD769" s="145"/>
      <c r="CE769" s="128"/>
      <c r="CF769" s="126"/>
      <c r="CG769" s="128"/>
      <c r="CH769" s="126"/>
      <c r="CI769" s="129"/>
      <c r="CJ769" s="130"/>
      <c r="CK769" s="131"/>
      <c r="CL769" s="55"/>
      <c r="CM769" s="40"/>
      <c r="CN769" s="229"/>
      <c r="CO769" s="229"/>
      <c r="CP769" s="229"/>
      <c r="CQ769" s="229"/>
      <c r="CR769" s="229"/>
      <c r="CS769" s="229"/>
      <c r="CT769" s="229"/>
      <c r="CU769" s="229"/>
      <c r="CV769" s="229"/>
      <c r="CW769" s="229"/>
    </row>
    <row r="770" ht="15.75" hidden="1" customHeight="1">
      <c r="CD770" s="145"/>
      <c r="CE770" s="128"/>
      <c r="CF770" s="126"/>
      <c r="CG770" s="128"/>
      <c r="CH770" s="126"/>
      <c r="CI770" s="129"/>
      <c r="CJ770" s="130"/>
      <c r="CK770" s="131"/>
      <c r="CL770" s="55"/>
      <c r="CM770" s="40"/>
      <c r="CN770" s="229"/>
      <c r="CO770" s="229"/>
      <c r="CP770" s="229"/>
      <c r="CQ770" s="229"/>
      <c r="CR770" s="229"/>
      <c r="CS770" s="229"/>
      <c r="CT770" s="229"/>
      <c r="CU770" s="229"/>
      <c r="CV770" s="229"/>
      <c r="CW770" s="229"/>
    </row>
    <row r="771" ht="15.75" hidden="1" customHeight="1">
      <c r="CD771" s="145"/>
      <c r="CE771" s="128"/>
      <c r="CF771" s="126"/>
      <c r="CG771" s="128"/>
      <c r="CH771" s="126"/>
      <c r="CI771" s="129"/>
      <c r="CJ771" s="130"/>
      <c r="CK771" s="131"/>
      <c r="CL771" s="55"/>
      <c r="CM771" s="40"/>
      <c r="CN771" s="229"/>
      <c r="CO771" s="229"/>
      <c r="CP771" s="229"/>
      <c r="CQ771" s="229"/>
      <c r="CR771" s="229"/>
      <c r="CS771" s="229"/>
      <c r="CT771" s="229"/>
      <c r="CU771" s="229"/>
      <c r="CV771" s="229"/>
      <c r="CW771" s="229"/>
    </row>
    <row r="772" ht="15.75" hidden="1" customHeight="1">
      <c r="CD772" s="53"/>
      <c r="CE772" s="147"/>
      <c r="CF772" s="118"/>
      <c r="CG772" s="118"/>
      <c r="CH772" s="117"/>
      <c r="CI772" s="148"/>
      <c r="CJ772" s="118"/>
      <c r="CK772" s="117"/>
      <c r="CL772" s="55"/>
      <c r="CM772" s="40"/>
      <c r="CN772" s="229"/>
      <c r="CO772" s="229"/>
      <c r="CP772" s="229"/>
      <c r="CQ772" s="229"/>
      <c r="CR772" s="229"/>
      <c r="CS772" s="229"/>
      <c r="CT772" s="229"/>
      <c r="CU772" s="229"/>
      <c r="CV772" s="229"/>
      <c r="CW772" s="229"/>
    </row>
    <row r="773" ht="15.75" hidden="1" customHeight="1">
      <c r="CD773" s="53"/>
      <c r="CE773" s="54"/>
      <c r="CF773" s="55"/>
      <c r="CG773" s="55"/>
      <c r="CH773" s="54"/>
      <c r="CI773" s="54"/>
      <c r="CJ773" s="54"/>
      <c r="CK773" s="16"/>
      <c r="CL773" s="55"/>
      <c r="CM773" s="153"/>
      <c r="CN773" s="229"/>
      <c r="CO773" s="229"/>
      <c r="CP773" s="229"/>
      <c r="CQ773" s="229"/>
      <c r="CR773" s="229"/>
      <c r="CS773" s="229"/>
      <c r="CT773" s="229"/>
      <c r="CU773" s="229"/>
      <c r="CV773" s="229"/>
      <c r="CW773" s="229"/>
    </row>
    <row r="774" ht="15.75" hidden="1" customHeight="1">
      <c r="CD774" s="53"/>
      <c r="CE774" s="54"/>
      <c r="CF774" s="55"/>
      <c r="CG774" s="55"/>
      <c r="CH774" s="54"/>
      <c r="CI774" s="54"/>
      <c r="CJ774" s="54"/>
      <c r="CK774" s="16"/>
      <c r="CL774" s="55"/>
      <c r="CM774" s="70"/>
      <c r="CN774" s="229"/>
      <c r="CO774" s="229"/>
      <c r="CP774" s="229"/>
      <c r="CQ774" s="229"/>
      <c r="CR774" s="229"/>
      <c r="CS774" s="229"/>
      <c r="CT774" s="229"/>
      <c r="CU774" s="229"/>
      <c r="CV774" s="229"/>
      <c r="CW774" s="229"/>
    </row>
    <row r="775" ht="15.75" hidden="1" customHeight="1">
      <c r="CD775" s="53"/>
      <c r="CE775" s="161"/>
      <c r="CF775" s="162"/>
      <c r="CG775" s="158"/>
      <c r="CH775" s="163"/>
      <c r="CI775" s="162"/>
      <c r="CJ775" s="158"/>
      <c r="CK775" s="54"/>
      <c r="CL775" s="164"/>
      <c r="CM775" s="153"/>
      <c r="CN775" s="229"/>
      <c r="CO775" s="229"/>
      <c r="CP775" s="229"/>
      <c r="CQ775" s="229"/>
      <c r="CR775" s="229"/>
      <c r="CS775" s="229"/>
      <c r="CT775" s="229"/>
      <c r="CU775" s="229"/>
      <c r="CV775" s="229"/>
      <c r="CW775" s="229"/>
    </row>
    <row r="776" ht="15.75" hidden="1" customHeight="1">
      <c r="CD776" s="53"/>
      <c r="CE776" s="169"/>
      <c r="CF776" s="77"/>
      <c r="CG776" s="77"/>
      <c r="CH776" s="170"/>
      <c r="CI776" s="171"/>
      <c r="CJ776" s="171"/>
      <c r="CK776" s="172"/>
      <c r="CL776" s="40"/>
      <c r="CM776" s="40"/>
      <c r="CN776" s="229"/>
      <c r="CO776" s="229"/>
      <c r="CP776" s="229"/>
      <c r="CQ776" s="229"/>
      <c r="CR776" s="229"/>
      <c r="CS776" s="229"/>
      <c r="CT776" s="229"/>
      <c r="CU776" s="229"/>
      <c r="CV776" s="229"/>
      <c r="CW776" s="229"/>
    </row>
    <row r="777" ht="15.75" hidden="1" customHeight="1">
      <c r="CD777" s="53"/>
      <c r="CE777" s="169"/>
      <c r="CF777" s="77"/>
      <c r="CG777" s="77"/>
      <c r="CH777" s="170"/>
      <c r="CI777" s="175"/>
      <c r="CJ777" s="175"/>
      <c r="CK777" s="172"/>
      <c r="CL777" s="40"/>
      <c r="CM777" s="40"/>
      <c r="CN777" s="229"/>
      <c r="CO777" s="229"/>
      <c r="CP777" s="229"/>
      <c r="CQ777" s="229"/>
      <c r="CR777" s="229"/>
      <c r="CS777" s="229"/>
      <c r="CT777" s="229"/>
      <c r="CU777" s="229"/>
      <c r="CV777" s="229"/>
      <c r="CW777" s="229"/>
    </row>
    <row r="778" ht="15.75" hidden="1" customHeight="1">
      <c r="CD778" s="53"/>
      <c r="CE778" s="169"/>
      <c r="CF778" s="77"/>
      <c r="CG778" s="77"/>
      <c r="CH778" s="170"/>
      <c r="CI778" s="175"/>
      <c r="CJ778" s="175"/>
      <c r="CK778" s="172"/>
      <c r="CL778" s="40"/>
      <c r="CM778" s="40"/>
      <c r="CN778" s="229"/>
      <c r="CO778" s="229"/>
      <c r="CP778" s="229"/>
      <c r="CQ778" s="229"/>
      <c r="CR778" s="229"/>
      <c r="CS778" s="229"/>
      <c r="CT778" s="229"/>
      <c r="CU778" s="229"/>
      <c r="CV778" s="229"/>
      <c r="CW778" s="229"/>
    </row>
    <row r="779" ht="15.75" hidden="1" customHeight="1">
      <c r="CD779" s="53"/>
      <c r="CE779" s="169"/>
      <c r="CF779" s="77"/>
      <c r="CG779" s="77"/>
      <c r="CH779" s="170"/>
      <c r="CI779" s="175"/>
      <c r="CJ779" s="175"/>
      <c r="CK779" s="172"/>
      <c r="CL779" s="40"/>
      <c r="CM779" s="40"/>
      <c r="CN779" s="229"/>
      <c r="CO779" s="229"/>
      <c r="CP779" s="229"/>
      <c r="CQ779" s="229"/>
      <c r="CR779" s="229"/>
      <c r="CS779" s="229"/>
      <c r="CT779" s="229"/>
      <c r="CU779" s="229"/>
      <c r="CV779" s="229"/>
      <c r="CW779" s="229"/>
    </row>
    <row r="780" ht="15.75" hidden="1" customHeight="1">
      <c r="CD780" s="53"/>
      <c r="CE780" s="169"/>
      <c r="CF780" s="77"/>
      <c r="CG780" s="77"/>
      <c r="CH780" s="170"/>
      <c r="CI780" s="175"/>
      <c r="CJ780" s="175"/>
      <c r="CK780" s="172"/>
      <c r="CL780" s="40"/>
      <c r="CM780" s="40"/>
      <c r="CN780" s="229"/>
      <c r="CO780" s="229"/>
      <c r="CP780" s="229"/>
      <c r="CQ780" s="229"/>
      <c r="CR780" s="229"/>
      <c r="CS780" s="229"/>
      <c r="CT780" s="229"/>
      <c r="CU780" s="229"/>
      <c r="CV780" s="229"/>
      <c r="CW780" s="229"/>
    </row>
    <row r="781" ht="15.75" hidden="1" customHeight="1">
      <c r="CD781" s="53"/>
      <c r="CE781" s="169"/>
      <c r="CF781" s="77"/>
      <c r="CG781" s="77"/>
      <c r="CH781" s="170"/>
      <c r="CI781" s="175"/>
      <c r="CJ781" s="175"/>
      <c r="CK781" s="172"/>
      <c r="CL781" s="40"/>
      <c r="CM781" s="40"/>
      <c r="CN781" s="229"/>
      <c r="CO781" s="229"/>
      <c r="CP781" s="229"/>
      <c r="CQ781" s="229"/>
      <c r="CR781" s="229"/>
      <c r="CS781" s="229"/>
      <c r="CT781" s="229"/>
      <c r="CU781" s="229"/>
      <c r="CV781" s="229"/>
      <c r="CW781" s="229"/>
    </row>
    <row r="782" ht="15.75" hidden="1" customHeight="1">
      <c r="CD782" s="53"/>
      <c r="CE782" s="169"/>
      <c r="CF782" s="77"/>
      <c r="CG782" s="77"/>
      <c r="CH782" s="170"/>
      <c r="CI782" s="175"/>
      <c r="CJ782" s="175"/>
      <c r="CK782" s="172"/>
      <c r="CL782" s="40"/>
      <c r="CM782" s="40"/>
      <c r="CN782" s="229"/>
      <c r="CO782" s="229"/>
      <c r="CP782" s="229"/>
      <c r="CQ782" s="229"/>
      <c r="CR782" s="229"/>
      <c r="CS782" s="229"/>
      <c r="CT782" s="229"/>
      <c r="CU782" s="229"/>
      <c r="CV782" s="229"/>
      <c r="CW782" s="229"/>
    </row>
    <row r="783" ht="15.75" hidden="1" customHeight="1">
      <c r="CD783" s="53"/>
      <c r="CE783" s="169"/>
      <c r="CF783" s="77"/>
      <c r="CG783" s="77"/>
      <c r="CH783" s="170"/>
      <c r="CI783" s="175"/>
      <c r="CJ783" s="175"/>
      <c r="CK783" s="172"/>
      <c r="CL783" s="40"/>
      <c r="CM783" s="40"/>
      <c r="CN783" s="229"/>
      <c r="CO783" s="229"/>
      <c r="CP783" s="229"/>
      <c r="CQ783" s="229"/>
      <c r="CR783" s="229"/>
      <c r="CS783" s="229"/>
      <c r="CT783" s="229"/>
      <c r="CU783" s="229"/>
      <c r="CV783" s="229"/>
      <c r="CW783" s="229"/>
    </row>
    <row r="784" ht="15.75" hidden="1" customHeight="1">
      <c r="CD784" s="53"/>
      <c r="CE784" s="169"/>
      <c r="CF784" s="77"/>
      <c r="CG784" s="77"/>
      <c r="CH784" s="170"/>
      <c r="CI784" s="175"/>
      <c r="CJ784" s="175"/>
      <c r="CK784" s="172"/>
      <c r="CL784" s="40"/>
      <c r="CM784" s="40"/>
      <c r="CN784" s="229"/>
      <c r="CO784" s="229"/>
      <c r="CP784" s="229"/>
      <c r="CQ784" s="229"/>
      <c r="CR784" s="229"/>
      <c r="CS784" s="229"/>
      <c r="CT784" s="229"/>
      <c r="CU784" s="229"/>
      <c r="CV784" s="229"/>
      <c r="CW784" s="229"/>
    </row>
    <row r="785" ht="15.75" hidden="1" customHeight="1">
      <c r="CD785" s="53"/>
      <c r="CE785" s="169"/>
      <c r="CF785" s="77"/>
      <c r="CG785" s="77"/>
      <c r="CH785" s="170"/>
      <c r="CI785" s="175"/>
      <c r="CJ785" s="175"/>
      <c r="CK785" s="172"/>
      <c r="CL785" s="40"/>
      <c r="CM785" s="40"/>
      <c r="CN785" s="229"/>
      <c r="CO785" s="229"/>
      <c r="CP785" s="229"/>
      <c r="CQ785" s="229"/>
      <c r="CR785" s="229"/>
      <c r="CS785" s="229"/>
      <c r="CT785" s="229"/>
      <c r="CU785" s="229"/>
      <c r="CV785" s="229"/>
      <c r="CW785" s="229"/>
    </row>
    <row r="786" ht="15.75" hidden="1" customHeight="1">
      <c r="CD786" s="53"/>
      <c r="CE786" s="169"/>
      <c r="CF786" s="77"/>
      <c r="CG786" s="77"/>
      <c r="CH786" s="170"/>
      <c r="CI786" s="175"/>
      <c r="CJ786" s="175"/>
      <c r="CK786" s="172"/>
      <c r="CL786" s="40"/>
      <c r="CM786" s="40"/>
      <c r="CN786" s="229"/>
      <c r="CO786" s="229"/>
      <c r="CP786" s="229"/>
      <c r="CQ786" s="229"/>
      <c r="CR786" s="229"/>
      <c r="CS786" s="229"/>
      <c r="CT786" s="229"/>
      <c r="CU786" s="229"/>
      <c r="CV786" s="229"/>
      <c r="CW786" s="229"/>
    </row>
    <row r="787" ht="15.75" hidden="1" customHeight="1">
      <c r="CD787" s="53"/>
      <c r="CE787" s="169"/>
      <c r="CF787" s="77"/>
      <c r="CG787" s="77"/>
      <c r="CH787" s="170"/>
      <c r="CI787" s="175"/>
      <c r="CJ787" s="175"/>
      <c r="CK787" s="172"/>
      <c r="CL787" s="40"/>
      <c r="CM787" s="40"/>
      <c r="CN787" s="229"/>
      <c r="CO787" s="229"/>
      <c r="CP787" s="229"/>
      <c r="CQ787" s="229"/>
      <c r="CR787" s="229"/>
      <c r="CS787" s="229"/>
      <c r="CT787" s="229"/>
      <c r="CU787" s="229"/>
      <c r="CV787" s="229"/>
      <c r="CW787" s="229"/>
    </row>
    <row r="788" ht="15.75" hidden="1" customHeight="1">
      <c r="CD788" s="53"/>
      <c r="CE788" s="169"/>
      <c r="CF788" s="77"/>
      <c r="CG788" s="77"/>
      <c r="CH788" s="170"/>
      <c r="CI788" s="175"/>
      <c r="CJ788" s="175"/>
      <c r="CK788" s="172"/>
      <c r="CL788" s="40"/>
      <c r="CM788" s="40"/>
      <c r="CN788" s="229"/>
      <c r="CO788" s="229"/>
      <c r="CP788" s="229"/>
      <c r="CQ788" s="229"/>
      <c r="CR788" s="229"/>
      <c r="CS788" s="229"/>
      <c r="CT788" s="229"/>
      <c r="CU788" s="229"/>
      <c r="CV788" s="229"/>
      <c r="CW788" s="229"/>
    </row>
    <row r="789" ht="15.75" hidden="1" customHeight="1">
      <c r="CD789" s="53"/>
      <c r="CE789" s="169"/>
      <c r="CF789" s="77"/>
      <c r="CG789" s="77"/>
      <c r="CH789" s="170"/>
      <c r="CI789" s="175"/>
      <c r="CJ789" s="175"/>
      <c r="CK789" s="172"/>
      <c r="CL789" s="40"/>
      <c r="CM789" s="40"/>
      <c r="CN789" s="229"/>
      <c r="CO789" s="229"/>
      <c r="CP789" s="229"/>
      <c r="CQ789" s="229"/>
      <c r="CR789" s="229"/>
      <c r="CS789" s="229"/>
      <c r="CT789" s="229"/>
      <c r="CU789" s="229"/>
      <c r="CV789" s="229"/>
      <c r="CW789" s="229"/>
    </row>
    <row r="790" ht="15.75" hidden="1" customHeight="1">
      <c r="CD790" s="53"/>
      <c r="CE790" s="169"/>
      <c r="CF790" s="77"/>
      <c r="CG790" s="77"/>
      <c r="CH790" s="170"/>
      <c r="CI790" s="175"/>
      <c r="CJ790" s="175"/>
      <c r="CK790" s="172"/>
      <c r="CL790" s="40"/>
      <c r="CM790" s="40"/>
      <c r="CN790" s="229"/>
      <c r="CO790" s="229"/>
      <c r="CP790" s="229"/>
      <c r="CQ790" s="229"/>
      <c r="CR790" s="229"/>
      <c r="CS790" s="229"/>
      <c r="CT790" s="229"/>
      <c r="CU790" s="229"/>
      <c r="CV790" s="229"/>
      <c r="CW790" s="229"/>
    </row>
    <row r="791" ht="15.75" hidden="1" customHeight="1">
      <c r="CD791" s="53"/>
      <c r="CE791" s="169"/>
      <c r="CF791" s="77"/>
      <c r="CG791" s="77"/>
      <c r="CH791" s="170"/>
      <c r="CI791" s="175"/>
      <c r="CJ791" s="175"/>
      <c r="CK791" s="172"/>
      <c r="CL791" s="40"/>
      <c r="CM791" s="40"/>
      <c r="CN791" s="229"/>
      <c r="CO791" s="229"/>
      <c r="CP791" s="229"/>
      <c r="CQ791" s="229"/>
      <c r="CR791" s="229"/>
      <c r="CS791" s="229"/>
      <c r="CT791" s="229"/>
      <c r="CU791" s="229"/>
      <c r="CV791" s="229"/>
      <c r="CW791" s="229"/>
    </row>
    <row r="792" ht="15.75" hidden="1" customHeight="1">
      <c r="CD792" s="53"/>
      <c r="CE792" s="180"/>
      <c r="CF792" s="77"/>
      <c r="CG792" s="77"/>
      <c r="CH792" s="181"/>
      <c r="CI792" s="182"/>
      <c r="CJ792" s="182"/>
      <c r="CK792" s="172"/>
      <c r="CL792" s="40"/>
      <c r="CM792" s="40"/>
      <c r="CN792" s="229"/>
      <c r="CO792" s="229"/>
      <c r="CP792" s="229"/>
      <c r="CQ792" s="229"/>
      <c r="CR792" s="229"/>
      <c r="CS792" s="229"/>
      <c r="CT792" s="229"/>
      <c r="CU792" s="229"/>
      <c r="CV792" s="229"/>
      <c r="CW792" s="229"/>
    </row>
    <row r="793" ht="15.75" hidden="1" customHeight="1">
      <c r="CD793" s="53"/>
      <c r="CE793" s="190"/>
      <c r="CF793" s="77"/>
      <c r="CG793" s="77"/>
      <c r="CH793" s="188"/>
      <c r="CI793" s="175"/>
      <c r="CJ793" s="175"/>
      <c r="CK793" s="189"/>
      <c r="CL793" s="40"/>
      <c r="CM793" s="40"/>
      <c r="CN793" s="229"/>
      <c r="CO793" s="229"/>
      <c r="CP793" s="229"/>
      <c r="CQ793" s="229"/>
      <c r="CR793" s="229"/>
      <c r="CS793" s="229"/>
      <c r="CT793" s="229"/>
      <c r="CU793" s="229"/>
      <c r="CV793" s="229"/>
      <c r="CW793" s="229"/>
    </row>
    <row r="794" ht="15.75" hidden="1" customHeight="1">
      <c r="CD794" s="53"/>
      <c r="CE794" s="190"/>
      <c r="CF794" s="77"/>
      <c r="CG794" s="77"/>
      <c r="CH794" s="188"/>
      <c r="CI794" s="175"/>
      <c r="CJ794" s="175"/>
      <c r="CK794" s="192"/>
      <c r="CL794" s="40"/>
      <c r="CM794" s="40"/>
      <c r="CN794" s="229"/>
      <c r="CO794" s="229"/>
      <c r="CP794" s="229"/>
      <c r="CQ794" s="229"/>
      <c r="CR794" s="229"/>
      <c r="CS794" s="229"/>
      <c r="CT794" s="229"/>
      <c r="CU794" s="229"/>
      <c r="CV794" s="229"/>
      <c r="CW794" s="229"/>
    </row>
    <row r="795" ht="15.75" hidden="1" customHeight="1">
      <c r="CD795" s="53"/>
      <c r="CE795" s="190"/>
      <c r="CF795" s="77"/>
      <c r="CG795" s="77"/>
      <c r="CH795" s="188"/>
      <c r="CI795" s="175"/>
      <c r="CJ795" s="175"/>
      <c r="CK795" s="192"/>
      <c r="CL795" s="40"/>
      <c r="CM795" s="40"/>
      <c r="CN795" s="229"/>
      <c r="CO795" s="229"/>
      <c r="CP795" s="229"/>
      <c r="CQ795" s="229"/>
      <c r="CR795" s="229"/>
      <c r="CS795" s="229"/>
      <c r="CT795" s="229"/>
      <c r="CU795" s="229"/>
      <c r="CV795" s="229"/>
      <c r="CW795" s="229"/>
    </row>
    <row r="796" ht="15.75" hidden="1" customHeight="1">
      <c r="CD796" s="53"/>
      <c r="CE796" s="187"/>
      <c r="CF796" s="77"/>
      <c r="CG796" s="77"/>
      <c r="CH796" s="188"/>
      <c r="CI796" s="175"/>
      <c r="CJ796" s="175"/>
      <c r="CK796" s="192"/>
      <c r="CL796" s="40"/>
      <c r="CM796" s="40"/>
      <c r="CN796" s="229"/>
      <c r="CO796" s="229"/>
      <c r="CP796" s="229"/>
      <c r="CQ796" s="229"/>
      <c r="CR796" s="229"/>
      <c r="CS796" s="229"/>
      <c r="CT796" s="229"/>
      <c r="CU796" s="229"/>
      <c r="CV796" s="229"/>
      <c r="CW796" s="229"/>
    </row>
    <row r="797" ht="15.75" hidden="1" customHeight="1">
      <c r="CD797" s="53"/>
      <c r="CE797" s="190"/>
      <c r="CF797" s="77"/>
      <c r="CG797" s="77"/>
      <c r="CH797" s="188"/>
      <c r="CI797" s="175"/>
      <c r="CJ797" s="175"/>
      <c r="CK797" s="192"/>
      <c r="CL797" s="40"/>
      <c r="CM797" s="40"/>
      <c r="CN797" s="229"/>
      <c r="CO797" s="229"/>
      <c r="CP797" s="229"/>
      <c r="CQ797" s="229"/>
      <c r="CR797" s="229"/>
      <c r="CS797" s="229"/>
      <c r="CT797" s="229"/>
      <c r="CU797" s="229"/>
      <c r="CV797" s="229"/>
      <c r="CW797" s="229"/>
    </row>
    <row r="798" ht="15.75" hidden="1" customHeight="1">
      <c r="CD798" s="53"/>
      <c r="CE798" s="190"/>
      <c r="CF798" s="77"/>
      <c r="CG798" s="77"/>
      <c r="CH798" s="188"/>
      <c r="CI798" s="175"/>
      <c r="CJ798" s="175"/>
      <c r="CK798" s="192"/>
      <c r="CL798" s="40"/>
      <c r="CM798" s="40"/>
      <c r="CN798" s="229"/>
      <c r="CO798" s="229"/>
      <c r="CP798" s="229"/>
      <c r="CQ798" s="229"/>
      <c r="CR798" s="229"/>
      <c r="CS798" s="229"/>
      <c r="CT798" s="229"/>
      <c r="CU798" s="229"/>
      <c r="CV798" s="229"/>
      <c r="CW798" s="229"/>
    </row>
    <row r="799" ht="15.75" hidden="1" customHeight="1">
      <c r="CD799" s="53"/>
      <c r="CE799" s="198"/>
      <c r="CF799" s="77"/>
      <c r="CG799" s="77"/>
      <c r="CH799" s="196"/>
      <c r="CI799" s="197"/>
      <c r="CJ799" s="197"/>
      <c r="CK799" s="192"/>
      <c r="CL799" s="40"/>
      <c r="CM799" s="40"/>
      <c r="CN799" s="229"/>
      <c r="CO799" s="229"/>
      <c r="CP799" s="229"/>
      <c r="CQ799" s="229"/>
      <c r="CR799" s="229"/>
      <c r="CS799" s="229"/>
      <c r="CT799" s="229"/>
      <c r="CU799" s="229"/>
      <c r="CV799" s="229"/>
      <c r="CW799" s="229"/>
    </row>
    <row r="800" ht="15.75" hidden="1" customHeight="1">
      <c r="CD800" s="53"/>
      <c r="CE800" s="180"/>
      <c r="CF800" s="201"/>
      <c r="CG800" s="201"/>
      <c r="CH800" s="181"/>
      <c r="CI800" s="182"/>
      <c r="CJ800" s="182"/>
      <c r="CK800" s="192"/>
      <c r="CL800" s="40"/>
      <c r="CM800" s="40"/>
      <c r="CN800" s="229"/>
      <c r="CO800" s="229"/>
      <c r="CP800" s="229"/>
      <c r="CQ800" s="229"/>
      <c r="CR800" s="229"/>
      <c r="CS800" s="229"/>
      <c r="CT800" s="229"/>
      <c r="CU800" s="229"/>
      <c r="CV800" s="229"/>
      <c r="CW800" s="229"/>
    </row>
    <row r="801" ht="15.75" hidden="1" customHeight="1">
      <c r="CD801" s="53"/>
      <c r="CE801" s="187"/>
      <c r="CF801" s="77"/>
      <c r="CG801" s="77"/>
      <c r="CH801" s="188"/>
      <c r="CI801" s="175"/>
      <c r="CJ801" s="175"/>
      <c r="CK801" s="192"/>
      <c r="CL801" s="40"/>
      <c r="CM801" s="40"/>
      <c r="CN801" s="229"/>
      <c r="CO801" s="229"/>
      <c r="CP801" s="229"/>
      <c r="CQ801" s="229"/>
      <c r="CR801" s="229"/>
      <c r="CS801" s="229"/>
      <c r="CT801" s="229"/>
      <c r="CU801" s="229"/>
      <c r="CV801" s="229"/>
      <c r="CW801" s="229"/>
    </row>
    <row r="802" ht="15.75" hidden="1" customHeight="1">
      <c r="CD802" s="53"/>
      <c r="CE802" s="187"/>
      <c r="CF802" s="77"/>
      <c r="CG802" s="77"/>
      <c r="CH802" s="188"/>
      <c r="CI802" s="175"/>
      <c r="CJ802" s="175"/>
      <c r="CK802" s="192"/>
      <c r="CL802" s="40"/>
      <c r="CM802" s="40"/>
      <c r="CN802" s="229"/>
      <c r="CO802" s="229"/>
      <c r="CP802" s="229"/>
      <c r="CQ802" s="229"/>
      <c r="CR802" s="229"/>
      <c r="CS802" s="229"/>
      <c r="CT802" s="229"/>
      <c r="CU802" s="229"/>
      <c r="CV802" s="229"/>
      <c r="CW802" s="229"/>
    </row>
    <row r="803" ht="15.75" hidden="1" customHeight="1">
      <c r="CD803" s="53"/>
      <c r="CE803" s="195"/>
      <c r="CF803" s="77"/>
      <c r="CG803" s="77"/>
      <c r="CH803" s="196"/>
      <c r="CI803" s="197"/>
      <c r="CJ803" s="197"/>
      <c r="CK803" s="192"/>
      <c r="CL803" s="40"/>
      <c r="CM803" s="40"/>
      <c r="CN803" s="229"/>
      <c r="CO803" s="229"/>
      <c r="CP803" s="229"/>
      <c r="CQ803" s="229"/>
      <c r="CR803" s="229"/>
      <c r="CS803" s="229"/>
      <c r="CT803" s="229"/>
      <c r="CU803" s="229"/>
      <c r="CV803" s="229"/>
      <c r="CW803" s="229"/>
    </row>
    <row r="804" ht="15.75" hidden="1" customHeight="1">
      <c r="CD804" s="53"/>
      <c r="CE804" s="180"/>
      <c r="CF804" s="201"/>
      <c r="CG804" s="201"/>
      <c r="CH804" s="181"/>
      <c r="CI804" s="182"/>
      <c r="CJ804" s="182"/>
      <c r="CK804" s="192"/>
      <c r="CL804" s="40"/>
      <c r="CM804" s="40"/>
      <c r="CN804" s="229"/>
      <c r="CO804" s="229"/>
      <c r="CP804" s="229"/>
      <c r="CQ804" s="229"/>
      <c r="CR804" s="229"/>
      <c r="CS804" s="229"/>
      <c r="CT804" s="229"/>
      <c r="CU804" s="229"/>
      <c r="CV804" s="229"/>
      <c r="CW804" s="229"/>
    </row>
    <row r="805" ht="15.75" hidden="1" customHeight="1">
      <c r="CD805" s="53"/>
      <c r="CE805" s="195"/>
      <c r="CF805" s="77"/>
      <c r="CG805" s="77"/>
      <c r="CH805" s="196"/>
      <c r="CI805" s="197"/>
      <c r="CJ805" s="197"/>
      <c r="CK805" s="192"/>
      <c r="CL805" s="40"/>
      <c r="CM805" s="40"/>
      <c r="CN805" s="229"/>
      <c r="CO805" s="229"/>
      <c r="CP805" s="229"/>
      <c r="CQ805" s="229"/>
      <c r="CR805" s="229"/>
      <c r="CS805" s="229"/>
      <c r="CT805" s="229"/>
      <c r="CU805" s="229"/>
      <c r="CV805" s="229"/>
      <c r="CW805" s="229"/>
    </row>
    <row r="806" ht="15.75" hidden="1" customHeight="1">
      <c r="CD806" s="53"/>
      <c r="CE806" s="207"/>
      <c r="CF806" s="77"/>
      <c r="CG806" s="77"/>
      <c r="CH806" s="208"/>
      <c r="CI806" s="209"/>
      <c r="CJ806" s="209"/>
      <c r="CK806" s="192"/>
      <c r="CL806" s="40"/>
      <c r="CM806" s="40"/>
      <c r="CN806" s="229"/>
      <c r="CO806" s="229"/>
      <c r="CP806" s="229"/>
      <c r="CQ806" s="229"/>
      <c r="CR806" s="229"/>
      <c r="CS806" s="229"/>
      <c r="CT806" s="229"/>
      <c r="CU806" s="229"/>
      <c r="CV806" s="229"/>
      <c r="CW806" s="229"/>
    </row>
    <row r="807" ht="15.75" hidden="1" customHeight="1">
      <c r="CD807" s="64"/>
      <c r="CE807" s="54"/>
      <c r="CF807" s="55"/>
      <c r="CG807" s="55"/>
      <c r="CH807" s="54"/>
      <c r="CI807" s="54"/>
      <c r="CJ807" s="54"/>
      <c r="CK807" s="16"/>
      <c r="CL807" s="55"/>
      <c r="CM807" s="70"/>
      <c r="CN807" s="229"/>
      <c r="CO807" s="229"/>
      <c r="CP807" s="229"/>
      <c r="CQ807" s="229"/>
      <c r="CR807" s="229"/>
      <c r="CS807" s="229"/>
      <c r="CT807" s="229"/>
      <c r="CU807" s="229"/>
      <c r="CV807" s="229"/>
      <c r="CW807" s="229"/>
    </row>
    <row r="808" ht="15.75" hidden="1" customHeight="1">
      <c r="CD808" s="54"/>
      <c r="CE808" s="54"/>
      <c r="CF808" s="55"/>
      <c r="CG808" s="55"/>
      <c r="CH808" s="54"/>
      <c r="CI808" s="54"/>
      <c r="CJ808" s="54"/>
      <c r="CK808" s="16"/>
      <c r="CL808" s="55"/>
      <c r="CM808" s="70"/>
      <c r="CN808" s="229"/>
      <c r="CO808" s="229"/>
      <c r="CP808" s="229"/>
      <c r="CQ808" s="229"/>
      <c r="CR808" s="229"/>
      <c r="CS808" s="229"/>
      <c r="CT808" s="229"/>
      <c r="CU808" s="229"/>
      <c r="CV808" s="229"/>
      <c r="CW808" s="229"/>
    </row>
    <row r="809" ht="15.75" hidden="1" customHeight="1">
      <c r="CD809" s="216"/>
      <c r="CE809" s="217"/>
      <c r="CF809" s="218"/>
      <c r="CG809" s="118"/>
      <c r="CH809" s="118"/>
      <c r="CI809" s="118"/>
      <c r="CJ809" s="118"/>
      <c r="CK809" s="117"/>
      <c r="CL809" s="219"/>
      <c r="CM809" s="220"/>
      <c r="CN809" s="229"/>
      <c r="CO809" s="229"/>
      <c r="CP809" s="229"/>
      <c r="CQ809" s="229"/>
      <c r="CR809" s="229"/>
      <c r="CS809" s="229"/>
      <c r="CT809" s="229"/>
      <c r="CU809" s="229"/>
      <c r="CV809" s="229"/>
      <c r="CW809" s="229"/>
    </row>
    <row r="810" ht="15.75" hidden="1" customHeight="1">
      <c r="CD810" s="16"/>
      <c r="CE810" s="217"/>
      <c r="CF810" s="218"/>
      <c r="CG810" s="118"/>
      <c r="CH810" s="118"/>
      <c r="CI810" s="118"/>
      <c r="CJ810" s="118"/>
      <c r="CK810" s="117"/>
      <c r="CL810" s="227"/>
      <c r="CM810" s="228"/>
      <c r="CN810" s="229"/>
      <c r="CO810" s="229"/>
      <c r="CP810" s="229"/>
      <c r="CQ810" s="229"/>
      <c r="CR810" s="229"/>
      <c r="CS810" s="229"/>
      <c r="CT810" s="229"/>
      <c r="CU810" s="229"/>
      <c r="CV810" s="229"/>
      <c r="CW810" s="229"/>
    </row>
    <row r="811" ht="15.75" hidden="1" customHeight="1">
      <c r="CD811" s="4"/>
      <c r="CE811" s="2"/>
      <c r="CF811" s="2"/>
      <c r="CG811" s="2"/>
      <c r="CH811" s="2"/>
      <c r="CI811" s="5"/>
      <c r="CJ811" s="5"/>
      <c r="CK811" s="5"/>
      <c r="CL811" s="5"/>
      <c r="CM811" s="6"/>
      <c r="CN811" s="229"/>
      <c r="CO811" s="229"/>
      <c r="CP811" s="229"/>
      <c r="CQ811" s="229"/>
      <c r="CR811" s="229"/>
      <c r="CS811" s="229"/>
      <c r="CT811" s="229"/>
      <c r="CU811" s="229"/>
      <c r="CV811" s="229"/>
      <c r="CW811" s="229"/>
    </row>
    <row r="812" ht="15.75" hidden="1" customHeight="1">
      <c r="CD812" s="11"/>
      <c r="CI812" s="12"/>
      <c r="CJ812" s="12"/>
      <c r="CK812" s="12"/>
      <c r="CL812" s="13"/>
      <c r="CM812" s="14"/>
      <c r="CN812" s="229"/>
      <c r="CO812" s="229"/>
      <c r="CP812" s="229"/>
      <c r="CQ812" s="229"/>
      <c r="CR812" s="229"/>
      <c r="CS812" s="229"/>
      <c r="CT812" s="229"/>
      <c r="CU812" s="229"/>
      <c r="CV812" s="229"/>
      <c r="CW812" s="229"/>
    </row>
    <row r="813" ht="15.75" hidden="1" customHeight="1">
      <c r="CD813" s="17"/>
      <c r="CE813" s="18"/>
      <c r="CF813" s="18"/>
      <c r="CG813" s="18"/>
      <c r="CH813" s="18"/>
      <c r="CI813" s="18"/>
      <c r="CJ813" s="18"/>
      <c r="CK813" s="18"/>
      <c r="CL813" s="18"/>
      <c r="CM813" s="18"/>
      <c r="CN813" s="229"/>
      <c r="CO813" s="229"/>
      <c r="CP813" s="229"/>
      <c r="CQ813" s="229"/>
      <c r="CR813" s="229"/>
      <c r="CS813" s="229"/>
      <c r="CT813" s="229"/>
      <c r="CU813" s="229"/>
      <c r="CV813" s="229"/>
      <c r="CW813" s="229"/>
    </row>
    <row r="814" ht="15.75" hidden="1" customHeight="1">
      <c r="CD814" s="23"/>
      <c r="CE814" s="24"/>
      <c r="CF814" s="28"/>
      <c r="CG814" s="26"/>
      <c r="CH814" s="26"/>
      <c r="CI814" s="26"/>
      <c r="CJ814" s="26"/>
      <c r="CK814" s="27"/>
      <c r="CL814" s="27"/>
      <c r="CM814" s="27"/>
      <c r="CN814" s="229"/>
      <c r="CO814" s="229"/>
      <c r="CP814" s="229"/>
      <c r="CQ814" s="229"/>
      <c r="CR814" s="229"/>
      <c r="CS814" s="229"/>
      <c r="CT814" s="229"/>
      <c r="CU814" s="229"/>
      <c r="CV814" s="229"/>
      <c r="CW814" s="229"/>
    </row>
    <row r="815" ht="15.75" hidden="1" customHeight="1">
      <c r="CD815" s="23"/>
      <c r="CE815" s="26"/>
      <c r="CF815" s="39"/>
      <c r="CG815" s="26"/>
      <c r="CH815" s="26"/>
      <c r="CI815" s="26"/>
      <c r="CJ815" s="26"/>
      <c r="CK815" s="40"/>
      <c r="CL815" s="40"/>
      <c r="CM815" s="40"/>
      <c r="CN815" s="229"/>
      <c r="CO815" s="229"/>
      <c r="CP815" s="229"/>
      <c r="CQ815" s="229"/>
      <c r="CR815" s="229"/>
      <c r="CS815" s="229"/>
      <c r="CT815" s="229"/>
      <c r="CU815" s="229"/>
      <c r="CV815" s="229"/>
      <c r="CW815" s="229"/>
    </row>
    <row r="816" ht="15.75" hidden="1" customHeight="1">
      <c r="CD816" s="45"/>
      <c r="CE816" s="46"/>
      <c r="CF816" s="46"/>
      <c r="CG816" s="46"/>
      <c r="CH816" s="46"/>
      <c r="CI816" s="46"/>
      <c r="CJ816" s="46"/>
      <c r="CK816" s="46"/>
      <c r="CL816" s="47"/>
      <c r="CM816" s="47"/>
      <c r="CN816" s="229"/>
      <c r="CO816" s="229"/>
      <c r="CP816" s="229"/>
      <c r="CQ816" s="229"/>
      <c r="CR816" s="229"/>
      <c r="CS816" s="229"/>
      <c r="CT816" s="229"/>
      <c r="CU816" s="229"/>
      <c r="CV816" s="229"/>
      <c r="CW816" s="229"/>
    </row>
    <row r="817" ht="15.75" hidden="1" customHeight="1">
      <c r="CD817" s="53"/>
      <c r="CE817" s="54"/>
      <c r="CF817" s="54"/>
      <c r="CG817" s="54"/>
      <c r="CH817" s="54"/>
      <c r="CI817" s="54"/>
      <c r="CJ817" s="54"/>
      <c r="CK817" s="54"/>
      <c r="CL817" s="55"/>
      <c r="CM817" s="56"/>
      <c r="CN817" s="229"/>
      <c r="CO817" s="229"/>
      <c r="CP817" s="229"/>
      <c r="CQ817" s="229"/>
      <c r="CR817" s="229"/>
      <c r="CS817" s="229"/>
      <c r="CT817" s="229"/>
      <c r="CU817" s="229"/>
      <c r="CV817" s="229"/>
      <c r="CW817" s="229"/>
    </row>
    <row r="818" ht="15.75" hidden="1" customHeight="1">
      <c r="CD818" s="64"/>
      <c r="CE818" s="65"/>
      <c r="CF818" s="62"/>
      <c r="CG818" s="62"/>
      <c r="CH818" s="66"/>
      <c r="CI818" s="54"/>
      <c r="CJ818" s="54"/>
      <c r="CK818" s="71"/>
      <c r="CL818" s="68"/>
      <c r="CM818" s="70"/>
      <c r="CN818" s="229"/>
      <c r="CO818" s="229"/>
      <c r="CP818" s="229"/>
      <c r="CQ818" s="229"/>
      <c r="CR818" s="229"/>
      <c r="CS818" s="229"/>
      <c r="CT818" s="229"/>
      <c r="CU818" s="229"/>
      <c r="CV818" s="229"/>
      <c r="CW818" s="229"/>
    </row>
    <row r="819" ht="15.75" hidden="1" customHeight="1">
      <c r="CD819" s="64"/>
      <c r="CE819" s="65"/>
      <c r="CF819" s="62"/>
      <c r="CG819" s="62"/>
      <c r="CH819" s="66"/>
      <c r="CI819" s="54"/>
      <c r="CJ819" s="54"/>
      <c r="CK819" s="67"/>
      <c r="CL819" s="78"/>
      <c r="CM819" s="70"/>
      <c r="CN819" s="229"/>
      <c r="CO819" s="229"/>
      <c r="CP819" s="229"/>
      <c r="CQ819" s="229"/>
      <c r="CR819" s="229"/>
      <c r="CS819" s="229"/>
      <c r="CT819" s="229"/>
      <c r="CU819" s="229"/>
      <c r="CV819" s="229"/>
      <c r="CW819" s="229"/>
    </row>
    <row r="820" ht="15.75" hidden="1" customHeight="1">
      <c r="CD820" s="64"/>
      <c r="CE820" s="65"/>
      <c r="CF820" s="62"/>
      <c r="CG820" s="62"/>
      <c r="CH820" s="66"/>
      <c r="CI820" s="54"/>
      <c r="CJ820" s="54"/>
      <c r="CK820" s="67"/>
      <c r="CL820" s="78"/>
      <c r="CM820" s="70"/>
      <c r="CN820" s="229"/>
      <c r="CO820" s="229"/>
      <c r="CP820" s="229"/>
      <c r="CQ820" s="229"/>
      <c r="CR820" s="229"/>
      <c r="CS820" s="229"/>
      <c r="CT820" s="229"/>
      <c r="CU820" s="229"/>
      <c r="CV820" s="229"/>
      <c r="CW820" s="229"/>
    </row>
    <row r="821" ht="15.75" hidden="1" customHeight="1">
      <c r="CD821" s="64"/>
      <c r="CE821" s="65"/>
      <c r="CF821" s="62"/>
      <c r="CG821" s="62"/>
      <c r="CH821" s="66"/>
      <c r="CI821" s="54"/>
      <c r="CJ821" s="54"/>
      <c r="CK821" s="67"/>
      <c r="CL821" s="78"/>
      <c r="CM821" s="70"/>
      <c r="CN821" s="229"/>
      <c r="CO821" s="229"/>
      <c r="CP821" s="229"/>
      <c r="CQ821" s="229"/>
      <c r="CR821" s="229"/>
      <c r="CS821" s="229"/>
      <c r="CT821" s="229"/>
      <c r="CU821" s="229"/>
      <c r="CV821" s="229"/>
      <c r="CW821" s="229"/>
    </row>
    <row r="822" ht="15.75" hidden="1" customHeight="1">
      <c r="CD822" s="64"/>
      <c r="CE822" s="65"/>
      <c r="CF822" s="62"/>
      <c r="CG822" s="62"/>
      <c r="CH822" s="66"/>
      <c r="CI822" s="54"/>
      <c r="CJ822" s="54"/>
      <c r="CK822" s="67"/>
      <c r="CL822" s="78"/>
      <c r="CM822" s="70"/>
      <c r="CN822" s="229"/>
      <c r="CO822" s="229"/>
      <c r="CP822" s="229"/>
      <c r="CQ822" s="229"/>
      <c r="CR822" s="229"/>
      <c r="CS822" s="229"/>
      <c r="CT822" s="229"/>
      <c r="CU822" s="229"/>
      <c r="CV822" s="229"/>
      <c r="CW822" s="229"/>
    </row>
    <row r="823" ht="15.75" hidden="1" customHeight="1">
      <c r="CD823" s="64"/>
      <c r="CE823" s="65"/>
      <c r="CF823" s="62"/>
      <c r="CG823" s="62"/>
      <c r="CH823" s="66"/>
      <c r="CI823" s="54"/>
      <c r="CJ823" s="54"/>
      <c r="CK823" s="67"/>
      <c r="CL823" s="78"/>
      <c r="CM823" s="70"/>
      <c r="CN823" s="229"/>
      <c r="CO823" s="229"/>
      <c r="CP823" s="229"/>
      <c r="CQ823" s="229"/>
      <c r="CR823" s="229"/>
      <c r="CS823" s="229"/>
      <c r="CT823" s="229"/>
      <c r="CU823" s="229"/>
      <c r="CV823" s="229"/>
      <c r="CW823" s="229"/>
    </row>
    <row r="824" ht="15.75" hidden="1" customHeight="1">
      <c r="CD824" s="64"/>
      <c r="CE824" s="65"/>
      <c r="CF824" s="62"/>
      <c r="CG824" s="62"/>
      <c r="CH824" s="66"/>
      <c r="CI824" s="54"/>
      <c r="CJ824" s="54"/>
      <c r="CK824" s="67"/>
      <c r="CL824" s="78"/>
      <c r="CM824" s="70"/>
      <c r="CN824" s="229"/>
      <c r="CO824" s="229"/>
      <c r="CP824" s="229"/>
      <c r="CQ824" s="229"/>
      <c r="CR824" s="229"/>
      <c r="CS824" s="229"/>
      <c r="CT824" s="229"/>
      <c r="CU824" s="229"/>
      <c r="CV824" s="229"/>
      <c r="CW824" s="229"/>
    </row>
    <row r="825" ht="15.75" hidden="1" customHeight="1">
      <c r="CD825" s="64"/>
      <c r="CE825" s="65"/>
      <c r="CF825" s="62"/>
      <c r="CG825" s="62"/>
      <c r="CH825" s="66"/>
      <c r="CI825" s="54"/>
      <c r="CJ825" s="54"/>
      <c r="CK825" s="67"/>
      <c r="CL825" s="78"/>
      <c r="CM825" s="70"/>
      <c r="CN825" s="229"/>
      <c r="CO825" s="229"/>
      <c r="CP825" s="229"/>
      <c r="CQ825" s="229"/>
      <c r="CR825" s="229"/>
      <c r="CS825" s="229"/>
      <c r="CT825" s="229"/>
      <c r="CU825" s="229"/>
      <c r="CV825" s="229"/>
      <c r="CW825" s="229"/>
    </row>
    <row r="826" ht="15.75" hidden="1" customHeight="1">
      <c r="CD826" s="64"/>
      <c r="CE826" s="65"/>
      <c r="CF826" s="62"/>
      <c r="CG826" s="62"/>
      <c r="CH826" s="66"/>
      <c r="CI826" s="54"/>
      <c r="CJ826" s="54"/>
      <c r="CK826" s="67"/>
      <c r="CL826" s="78"/>
      <c r="CM826" s="70"/>
      <c r="CN826" s="229"/>
      <c r="CO826" s="229"/>
      <c r="CP826" s="229"/>
      <c r="CQ826" s="229"/>
      <c r="CR826" s="229"/>
      <c r="CS826" s="229"/>
      <c r="CT826" s="229"/>
      <c r="CU826" s="229"/>
      <c r="CV826" s="229"/>
      <c r="CW826" s="229"/>
    </row>
    <row r="827" ht="15.75" hidden="1" customHeight="1">
      <c r="CD827" s="64"/>
      <c r="CE827" s="65"/>
      <c r="CF827" s="62"/>
      <c r="CG827" s="62"/>
      <c r="CH827" s="66"/>
      <c r="CI827" s="54"/>
      <c r="CJ827" s="54"/>
      <c r="CK827" s="67"/>
      <c r="CL827" s="78"/>
      <c r="CM827" s="70"/>
      <c r="CN827" s="229"/>
      <c r="CO827" s="229"/>
      <c r="CP827" s="229"/>
      <c r="CQ827" s="229"/>
      <c r="CR827" s="229"/>
      <c r="CS827" s="229"/>
      <c r="CT827" s="229"/>
      <c r="CU827" s="229"/>
      <c r="CV827" s="229"/>
      <c r="CW827" s="229"/>
    </row>
    <row r="828" ht="15.75" hidden="1" customHeight="1">
      <c r="CD828" s="64"/>
      <c r="CE828" s="65"/>
      <c r="CF828" s="62"/>
      <c r="CG828" s="62"/>
      <c r="CH828" s="66"/>
      <c r="CI828" s="54"/>
      <c r="CJ828" s="54"/>
      <c r="CK828" s="67"/>
      <c r="CL828" s="78"/>
      <c r="CM828" s="70"/>
      <c r="CN828" s="229"/>
      <c r="CO828" s="229"/>
      <c r="CP828" s="229"/>
      <c r="CQ828" s="229"/>
      <c r="CR828" s="229"/>
      <c r="CS828" s="229"/>
      <c r="CT828" s="229"/>
      <c r="CU828" s="229"/>
      <c r="CV828" s="229"/>
      <c r="CW828" s="229"/>
    </row>
    <row r="829" ht="15.75" hidden="1" customHeight="1">
      <c r="CD829" s="64"/>
      <c r="CE829" s="65"/>
      <c r="CF829" s="62"/>
      <c r="CG829" s="62"/>
      <c r="CH829" s="66"/>
      <c r="CI829" s="54"/>
      <c r="CJ829" s="54"/>
      <c r="CK829" s="67"/>
      <c r="CL829" s="78"/>
      <c r="CM829" s="70"/>
      <c r="CN829" s="229"/>
      <c r="CO829" s="229"/>
      <c r="CP829" s="229"/>
      <c r="CQ829" s="229"/>
      <c r="CR829" s="229"/>
      <c r="CS829" s="229"/>
      <c r="CT829" s="229"/>
      <c r="CU829" s="229"/>
      <c r="CV829" s="229"/>
      <c r="CW829" s="229"/>
    </row>
    <row r="830" ht="15.75" hidden="1" customHeight="1">
      <c r="CD830" s="64"/>
      <c r="CE830" s="65"/>
      <c r="CF830" s="62"/>
      <c r="CG830" s="62"/>
      <c r="CH830" s="66"/>
      <c r="CI830" s="54"/>
      <c r="CJ830" s="54"/>
      <c r="CK830" s="67"/>
      <c r="CL830" s="78"/>
      <c r="CM830" s="70"/>
      <c r="CN830" s="229"/>
      <c r="CO830" s="229"/>
      <c r="CP830" s="229"/>
      <c r="CQ830" s="229"/>
      <c r="CR830" s="229"/>
      <c r="CS830" s="229"/>
      <c r="CT830" s="229"/>
      <c r="CU830" s="229"/>
      <c r="CV830" s="229"/>
      <c r="CW830" s="229"/>
    </row>
    <row r="831" ht="15.75" hidden="1" customHeight="1">
      <c r="CD831" s="64"/>
      <c r="CE831" s="65"/>
      <c r="CF831" s="62"/>
      <c r="CG831" s="62"/>
      <c r="CH831" s="66"/>
      <c r="CI831" s="54"/>
      <c r="CJ831" s="54"/>
      <c r="CK831" s="67"/>
      <c r="CL831" s="78"/>
      <c r="CM831" s="70"/>
      <c r="CN831" s="229"/>
      <c r="CO831" s="229"/>
      <c r="CP831" s="229"/>
      <c r="CQ831" s="229"/>
      <c r="CR831" s="229"/>
      <c r="CS831" s="229"/>
      <c r="CT831" s="229"/>
      <c r="CU831" s="229"/>
      <c r="CV831" s="229"/>
      <c r="CW831" s="229"/>
    </row>
    <row r="832" ht="15.75" hidden="1" customHeight="1">
      <c r="CD832" s="64"/>
      <c r="CE832" s="65"/>
      <c r="CF832" s="62"/>
      <c r="CG832" s="62"/>
      <c r="CH832" s="66"/>
      <c r="CI832" s="54"/>
      <c r="CJ832" s="54"/>
      <c r="CK832" s="67"/>
      <c r="CL832" s="78"/>
      <c r="CM832" s="70"/>
      <c r="CN832" s="229"/>
      <c r="CO832" s="229"/>
      <c r="CP832" s="229"/>
      <c r="CQ832" s="229"/>
      <c r="CR832" s="229"/>
      <c r="CS832" s="229"/>
      <c r="CT832" s="229"/>
      <c r="CU832" s="229"/>
      <c r="CV832" s="229"/>
      <c r="CW832" s="229"/>
    </row>
    <row r="833" ht="15.75" hidden="1" customHeight="1">
      <c r="CD833" s="64"/>
      <c r="CE833" s="65"/>
      <c r="CF833" s="62"/>
      <c r="CG833" s="62"/>
      <c r="CH833" s="66"/>
      <c r="CI833" s="54"/>
      <c r="CJ833" s="54"/>
      <c r="CK833" s="67"/>
      <c r="CL833" s="78"/>
      <c r="CM833" s="70"/>
      <c r="CN833" s="229"/>
      <c r="CO833" s="229"/>
      <c r="CP833" s="229"/>
      <c r="CQ833" s="229"/>
      <c r="CR833" s="229"/>
      <c r="CS833" s="229"/>
      <c r="CT833" s="229"/>
      <c r="CU833" s="229"/>
      <c r="CV833" s="229"/>
      <c r="CW833" s="229"/>
    </row>
    <row r="834" ht="15.75" hidden="1" customHeight="1">
      <c r="CD834" s="64"/>
      <c r="CE834" s="65"/>
      <c r="CF834" s="62"/>
      <c r="CG834" s="62"/>
      <c r="CH834" s="66"/>
      <c r="CI834" s="54"/>
      <c r="CJ834" s="54"/>
      <c r="CK834" s="67"/>
      <c r="CL834" s="78"/>
      <c r="CM834" s="70"/>
      <c r="CN834" s="229"/>
      <c r="CO834" s="229"/>
      <c r="CP834" s="229"/>
      <c r="CQ834" s="229"/>
      <c r="CR834" s="229"/>
      <c r="CS834" s="229"/>
      <c r="CT834" s="229"/>
      <c r="CU834" s="229"/>
      <c r="CV834" s="229"/>
      <c r="CW834" s="229"/>
    </row>
    <row r="835" ht="15.75" hidden="1" customHeight="1">
      <c r="CD835" s="64"/>
      <c r="CE835" s="65"/>
      <c r="CF835" s="62"/>
      <c r="CG835" s="62"/>
      <c r="CH835" s="66"/>
      <c r="CI835" s="54"/>
      <c r="CJ835" s="54"/>
      <c r="CK835" s="67"/>
      <c r="CL835" s="78"/>
      <c r="CM835" s="70"/>
      <c r="CN835" s="229"/>
      <c r="CO835" s="229"/>
      <c r="CP835" s="229"/>
      <c r="CQ835" s="229"/>
      <c r="CR835" s="229"/>
      <c r="CS835" s="229"/>
      <c r="CT835" s="229"/>
      <c r="CU835" s="229"/>
      <c r="CV835" s="229"/>
      <c r="CW835" s="229"/>
    </row>
    <row r="836" ht="15.75" hidden="1" customHeight="1">
      <c r="CD836" s="64"/>
      <c r="CE836" s="65"/>
      <c r="CF836" s="62"/>
      <c r="CG836" s="62"/>
      <c r="CH836" s="66"/>
      <c r="CI836" s="54"/>
      <c r="CJ836" s="54"/>
      <c r="CK836" s="67"/>
      <c r="CL836" s="78"/>
      <c r="CM836" s="70"/>
      <c r="CN836" s="229"/>
      <c r="CO836" s="229"/>
      <c r="CP836" s="229"/>
      <c r="CQ836" s="229"/>
      <c r="CR836" s="229"/>
      <c r="CS836" s="229"/>
      <c r="CT836" s="229"/>
      <c r="CU836" s="229"/>
      <c r="CV836" s="229"/>
      <c r="CW836" s="229"/>
    </row>
    <row r="837" ht="15.75" hidden="1" customHeight="1">
      <c r="CD837" s="64"/>
      <c r="CE837" s="65"/>
      <c r="CF837" s="62"/>
      <c r="CG837" s="62"/>
      <c r="CH837" s="66"/>
      <c r="CI837" s="54"/>
      <c r="CJ837" s="54"/>
      <c r="CK837" s="67"/>
      <c r="CL837" s="78"/>
      <c r="CM837" s="70"/>
      <c r="CN837" s="229"/>
      <c r="CO837" s="229"/>
      <c r="CP837" s="229"/>
      <c r="CQ837" s="229"/>
      <c r="CR837" s="229"/>
      <c r="CS837" s="229"/>
      <c r="CT837" s="229"/>
      <c r="CU837" s="229"/>
      <c r="CV837" s="229"/>
      <c r="CW837" s="229"/>
    </row>
    <row r="838" ht="15.75" hidden="1" customHeight="1">
      <c r="CD838" s="64"/>
      <c r="CE838" s="65"/>
      <c r="CF838" s="62"/>
      <c r="CG838" s="62"/>
      <c r="CH838" s="66"/>
      <c r="CI838" s="54"/>
      <c r="CJ838" s="54"/>
      <c r="CK838" s="67"/>
      <c r="CL838" s="78"/>
      <c r="CM838" s="70"/>
      <c r="CN838" s="229"/>
      <c r="CO838" s="229"/>
      <c r="CP838" s="229"/>
      <c r="CQ838" s="229"/>
      <c r="CR838" s="229"/>
      <c r="CS838" s="229"/>
      <c r="CT838" s="229"/>
      <c r="CU838" s="229"/>
      <c r="CV838" s="229"/>
      <c r="CW838" s="229"/>
    </row>
    <row r="839" ht="15.75" hidden="1" customHeight="1">
      <c r="CD839" s="64"/>
      <c r="CE839" s="65"/>
      <c r="CF839" s="62"/>
      <c r="CG839" s="62"/>
      <c r="CH839" s="66"/>
      <c r="CI839" s="54"/>
      <c r="CJ839" s="54"/>
      <c r="CK839" s="67"/>
      <c r="CL839" s="78"/>
      <c r="CM839" s="70"/>
      <c r="CN839" s="229"/>
      <c r="CO839" s="229"/>
      <c r="CP839" s="229"/>
      <c r="CQ839" s="229"/>
      <c r="CR839" s="229"/>
      <c r="CS839" s="229"/>
      <c r="CT839" s="229"/>
      <c r="CU839" s="229"/>
      <c r="CV839" s="229"/>
      <c r="CW839" s="229"/>
    </row>
    <row r="840" ht="15.75" hidden="1" customHeight="1">
      <c r="CD840" s="64"/>
      <c r="CE840" s="65"/>
      <c r="CF840" s="62"/>
      <c r="CG840" s="62"/>
      <c r="CH840" s="66"/>
      <c r="CI840" s="54"/>
      <c r="CJ840" s="54"/>
      <c r="CK840" s="67"/>
      <c r="CL840" s="78"/>
      <c r="CM840" s="70"/>
      <c r="CN840" s="229"/>
      <c r="CO840" s="229"/>
      <c r="CP840" s="229"/>
      <c r="CQ840" s="229"/>
      <c r="CR840" s="229"/>
      <c r="CS840" s="229"/>
      <c r="CT840" s="229"/>
      <c r="CU840" s="229"/>
      <c r="CV840" s="229"/>
      <c r="CW840" s="229"/>
    </row>
    <row r="841" ht="15.75" hidden="1" customHeight="1">
      <c r="CD841" s="86"/>
      <c r="CE841" s="87"/>
      <c r="CF841" s="62"/>
      <c r="CG841" s="62"/>
      <c r="CH841" s="88"/>
      <c r="CI841" s="89"/>
      <c r="CJ841" s="89"/>
      <c r="CK841" s="90"/>
      <c r="CL841" s="91"/>
      <c r="CM841" s="92"/>
      <c r="CN841" s="229"/>
      <c r="CO841" s="229"/>
      <c r="CP841" s="229"/>
      <c r="CQ841" s="229"/>
      <c r="CR841" s="229"/>
      <c r="CS841" s="229"/>
      <c r="CT841" s="229"/>
      <c r="CU841" s="229"/>
      <c r="CV841" s="229"/>
      <c r="CW841" s="229"/>
    </row>
    <row r="842" ht="15.75" hidden="1" customHeight="1">
      <c r="CD842" s="64"/>
      <c r="CE842" s="65"/>
      <c r="CF842" s="62"/>
      <c r="CG842" s="62"/>
      <c r="CH842" s="66"/>
      <c r="CI842" s="54"/>
      <c r="CJ842" s="54"/>
      <c r="CK842" s="67"/>
      <c r="CL842" s="78"/>
      <c r="CM842" s="70"/>
      <c r="CN842" s="229"/>
      <c r="CO842" s="229"/>
      <c r="CP842" s="229"/>
      <c r="CQ842" s="229"/>
      <c r="CR842" s="229"/>
      <c r="CS842" s="229"/>
      <c r="CT842" s="229"/>
      <c r="CU842" s="229"/>
      <c r="CV842" s="229"/>
      <c r="CW842" s="229"/>
    </row>
    <row r="843" ht="15.75" hidden="1" customHeight="1">
      <c r="CD843" s="64"/>
      <c r="CE843" s="65"/>
      <c r="CF843" s="62"/>
      <c r="CG843" s="62"/>
      <c r="CH843" s="66"/>
      <c r="CI843" s="54"/>
      <c r="CJ843" s="54"/>
      <c r="CK843" s="67"/>
      <c r="CL843" s="78"/>
      <c r="CM843" s="70"/>
      <c r="CN843" s="229"/>
      <c r="CO843" s="229"/>
      <c r="CP843" s="229"/>
      <c r="CQ843" s="229"/>
      <c r="CR843" s="229"/>
      <c r="CS843" s="229"/>
      <c r="CT843" s="229"/>
      <c r="CU843" s="229"/>
      <c r="CV843" s="229"/>
      <c r="CW843" s="229"/>
    </row>
    <row r="844" ht="15.75" hidden="1" customHeight="1">
      <c r="CD844" s="64"/>
      <c r="CE844" s="65"/>
      <c r="CF844" s="62"/>
      <c r="CG844" s="62"/>
      <c r="CH844" s="66"/>
      <c r="CI844" s="54"/>
      <c r="CJ844" s="54"/>
      <c r="CK844" s="67"/>
      <c r="CL844" s="78"/>
      <c r="CM844" s="70"/>
      <c r="CN844" s="229"/>
      <c r="CO844" s="229"/>
      <c r="CP844" s="229"/>
      <c r="CQ844" s="229"/>
      <c r="CR844" s="229"/>
      <c r="CS844" s="229"/>
      <c r="CT844" s="229"/>
      <c r="CU844" s="229"/>
      <c r="CV844" s="229"/>
      <c r="CW844" s="229"/>
    </row>
    <row r="845" ht="15.75" hidden="1" customHeight="1">
      <c r="CD845" s="64"/>
      <c r="CE845" s="65"/>
      <c r="CF845" s="62"/>
      <c r="CG845" s="62"/>
      <c r="CH845" s="66"/>
      <c r="CI845" s="54"/>
      <c r="CJ845" s="54"/>
      <c r="CK845" s="67"/>
      <c r="CL845" s="78"/>
      <c r="CM845" s="70"/>
      <c r="CN845" s="229"/>
      <c r="CO845" s="229"/>
      <c r="CP845" s="229"/>
      <c r="CQ845" s="229"/>
      <c r="CR845" s="229"/>
      <c r="CS845" s="229"/>
      <c r="CT845" s="229"/>
      <c r="CU845" s="229"/>
      <c r="CV845" s="229"/>
      <c r="CW845" s="229"/>
    </row>
    <row r="846" ht="15.75" hidden="1" customHeight="1">
      <c r="CD846" s="64"/>
      <c r="CE846" s="65"/>
      <c r="CF846" s="62"/>
      <c r="CG846" s="62"/>
      <c r="CH846" s="66"/>
      <c r="CI846" s="54"/>
      <c r="CJ846" s="54"/>
      <c r="CK846" s="67"/>
      <c r="CL846" s="78"/>
      <c r="CM846" s="70"/>
      <c r="CN846" s="229"/>
      <c r="CO846" s="229"/>
      <c r="CP846" s="229"/>
      <c r="CQ846" s="229"/>
      <c r="CR846" s="229"/>
      <c r="CS846" s="229"/>
      <c r="CT846" s="229"/>
      <c r="CU846" s="229"/>
      <c r="CV846" s="229"/>
      <c r="CW846" s="229"/>
    </row>
    <row r="847" ht="15.75" hidden="1" customHeight="1">
      <c r="CD847" s="64"/>
      <c r="CE847" s="65"/>
      <c r="CF847" s="62"/>
      <c r="CG847" s="62"/>
      <c r="CH847" s="66"/>
      <c r="CI847" s="54"/>
      <c r="CJ847" s="54"/>
      <c r="CK847" s="67"/>
      <c r="CL847" s="78"/>
      <c r="CM847" s="70"/>
      <c r="CN847" s="229"/>
      <c r="CO847" s="229"/>
      <c r="CP847" s="229"/>
      <c r="CQ847" s="229"/>
      <c r="CR847" s="229"/>
      <c r="CS847" s="229"/>
      <c r="CT847" s="229"/>
      <c r="CU847" s="229"/>
      <c r="CV847" s="229"/>
      <c r="CW847" s="229"/>
    </row>
    <row r="848" ht="15.75" hidden="1" customHeight="1">
      <c r="CD848" s="64"/>
      <c r="CE848" s="65"/>
      <c r="CF848" s="62"/>
      <c r="CG848" s="62"/>
      <c r="CH848" s="66"/>
      <c r="CI848" s="54"/>
      <c r="CJ848" s="54"/>
      <c r="CK848" s="67"/>
      <c r="CL848" s="78"/>
      <c r="CM848" s="70"/>
      <c r="CN848" s="229"/>
      <c r="CO848" s="229"/>
      <c r="CP848" s="229"/>
      <c r="CQ848" s="229"/>
      <c r="CR848" s="229"/>
      <c r="CS848" s="229"/>
      <c r="CT848" s="229"/>
      <c r="CU848" s="229"/>
      <c r="CV848" s="229"/>
      <c r="CW848" s="229"/>
    </row>
    <row r="849" ht="15.75" hidden="1" customHeight="1">
      <c r="CD849" s="64"/>
      <c r="CE849" s="65"/>
      <c r="CF849" s="62"/>
      <c r="CG849" s="62"/>
      <c r="CH849" s="66"/>
      <c r="CI849" s="54"/>
      <c r="CJ849" s="54"/>
      <c r="CK849" s="67"/>
      <c r="CL849" s="78"/>
      <c r="CM849" s="70"/>
      <c r="CN849" s="229"/>
      <c r="CO849" s="229"/>
      <c r="CP849" s="229"/>
      <c r="CQ849" s="229"/>
      <c r="CR849" s="229"/>
      <c r="CS849" s="229"/>
      <c r="CT849" s="229"/>
      <c r="CU849" s="229"/>
      <c r="CV849" s="229"/>
      <c r="CW849" s="229"/>
    </row>
    <row r="850" ht="15.75" hidden="1" customHeight="1">
      <c r="CD850" s="64"/>
      <c r="CE850" s="65"/>
      <c r="CF850" s="62"/>
      <c r="CG850" s="62"/>
      <c r="CH850" s="66"/>
      <c r="CI850" s="54"/>
      <c r="CJ850" s="54"/>
      <c r="CK850" s="67"/>
      <c r="CL850" s="78"/>
      <c r="CM850" s="70"/>
      <c r="CN850" s="229"/>
      <c r="CO850" s="229"/>
      <c r="CP850" s="229"/>
      <c r="CQ850" s="229"/>
      <c r="CR850" s="229"/>
      <c r="CS850" s="229"/>
      <c r="CT850" s="229"/>
      <c r="CU850" s="229"/>
      <c r="CV850" s="229"/>
      <c r="CW850" s="229"/>
    </row>
    <row r="851" ht="15.75" hidden="1" customHeight="1">
      <c r="CD851" s="64"/>
      <c r="CE851" s="65"/>
      <c r="CF851" s="62"/>
      <c r="CG851" s="62"/>
      <c r="CH851" s="66"/>
      <c r="CI851" s="54"/>
      <c r="CJ851" s="54"/>
      <c r="CK851" s="67"/>
      <c r="CL851" s="78"/>
      <c r="CM851" s="70"/>
      <c r="CN851" s="229"/>
      <c r="CO851" s="229"/>
      <c r="CP851" s="229"/>
      <c r="CQ851" s="229"/>
      <c r="CR851" s="229"/>
      <c r="CS851" s="229"/>
      <c r="CT851" s="229"/>
      <c r="CU851" s="229"/>
      <c r="CV851" s="229"/>
      <c r="CW851" s="229"/>
    </row>
    <row r="852" ht="15.75" hidden="1" customHeight="1">
      <c r="CD852" s="64"/>
      <c r="CE852" s="65"/>
      <c r="CF852" s="62"/>
      <c r="CG852" s="62"/>
      <c r="CH852" s="66"/>
      <c r="CI852" s="54"/>
      <c r="CJ852" s="54"/>
      <c r="CK852" s="67"/>
      <c r="CL852" s="78"/>
      <c r="CM852" s="70"/>
      <c r="CN852" s="229"/>
      <c r="CO852" s="229"/>
      <c r="CP852" s="229"/>
      <c r="CQ852" s="229"/>
      <c r="CR852" s="229"/>
      <c r="CS852" s="229"/>
      <c r="CT852" s="229"/>
      <c r="CU852" s="229"/>
      <c r="CV852" s="229"/>
      <c r="CW852" s="229"/>
    </row>
    <row r="853" ht="15.75" hidden="1" customHeight="1">
      <c r="CD853" s="64"/>
      <c r="CE853" s="65"/>
      <c r="CF853" s="62"/>
      <c r="CG853" s="62"/>
      <c r="CH853" s="66"/>
      <c r="CI853" s="54"/>
      <c r="CJ853" s="54"/>
      <c r="CK853" s="67"/>
      <c r="CL853" s="78"/>
      <c r="CM853" s="70"/>
      <c r="CN853" s="229"/>
      <c r="CO853" s="229"/>
      <c r="CP853" s="229"/>
      <c r="CQ853" s="229"/>
      <c r="CR853" s="229"/>
      <c r="CS853" s="229"/>
      <c r="CT853" s="229"/>
      <c r="CU853" s="229"/>
      <c r="CV853" s="229"/>
      <c r="CW853" s="229"/>
    </row>
    <row r="854" ht="15.75" hidden="1" customHeight="1">
      <c r="CD854" s="64"/>
      <c r="CE854" s="65"/>
      <c r="CF854" s="62"/>
      <c r="CG854" s="62"/>
      <c r="CH854" s="66"/>
      <c r="CI854" s="54"/>
      <c r="CJ854" s="54"/>
      <c r="CK854" s="67"/>
      <c r="CL854" s="78"/>
      <c r="CM854" s="70"/>
      <c r="CN854" s="229"/>
      <c r="CO854" s="229"/>
      <c r="CP854" s="229"/>
      <c r="CQ854" s="229"/>
      <c r="CR854" s="229"/>
      <c r="CS854" s="229"/>
      <c r="CT854" s="229"/>
      <c r="CU854" s="229"/>
      <c r="CV854" s="229"/>
      <c r="CW854" s="229"/>
    </row>
    <row r="855" ht="15.75" hidden="1" customHeight="1">
      <c r="CD855" s="64"/>
      <c r="CE855" s="65"/>
      <c r="CF855" s="62"/>
      <c r="CG855" s="62"/>
      <c r="CH855" s="66"/>
      <c r="CI855" s="54"/>
      <c r="CJ855" s="54"/>
      <c r="CK855" s="67"/>
      <c r="CL855" s="78"/>
      <c r="CM855" s="70"/>
      <c r="CN855" s="229"/>
      <c r="CO855" s="229"/>
      <c r="CP855" s="229"/>
      <c r="CQ855" s="229"/>
      <c r="CR855" s="229"/>
      <c r="CS855" s="229"/>
      <c r="CT855" s="229"/>
      <c r="CU855" s="229"/>
      <c r="CV855" s="229"/>
      <c r="CW855" s="229"/>
    </row>
    <row r="856" ht="15.75" hidden="1" customHeight="1">
      <c r="CD856" s="64"/>
      <c r="CE856" s="65"/>
      <c r="CF856" s="62"/>
      <c r="CG856" s="62"/>
      <c r="CH856" s="66"/>
      <c r="CI856" s="54"/>
      <c r="CJ856" s="54"/>
      <c r="CK856" s="67"/>
      <c r="CL856" s="78"/>
      <c r="CM856" s="70"/>
      <c r="CN856" s="229"/>
      <c r="CO856" s="229"/>
      <c r="CP856" s="229"/>
      <c r="CQ856" s="229"/>
      <c r="CR856" s="229"/>
      <c r="CS856" s="229"/>
      <c r="CT856" s="229"/>
      <c r="CU856" s="229"/>
      <c r="CV856" s="229"/>
      <c r="CW856" s="229"/>
    </row>
    <row r="857" ht="15.75" hidden="1" customHeight="1">
      <c r="CD857" s="64"/>
      <c r="CE857" s="65"/>
      <c r="CF857" s="62"/>
      <c r="CG857" s="62"/>
      <c r="CH857" s="66"/>
      <c r="CI857" s="54"/>
      <c r="CJ857" s="54"/>
      <c r="CK857" s="67"/>
      <c r="CL857" s="78"/>
      <c r="CM857" s="70"/>
      <c r="CN857" s="229"/>
      <c r="CO857" s="229"/>
      <c r="CP857" s="229"/>
      <c r="CQ857" s="229"/>
      <c r="CR857" s="229"/>
      <c r="CS857" s="229"/>
      <c r="CT857" s="229"/>
      <c r="CU857" s="229"/>
      <c r="CV857" s="229"/>
      <c r="CW857" s="229"/>
    </row>
    <row r="858" ht="15.75" hidden="1" customHeight="1">
      <c r="CD858" s="64"/>
      <c r="CE858" s="65"/>
      <c r="CF858" s="62"/>
      <c r="CG858" s="62"/>
      <c r="CH858" s="66"/>
      <c r="CI858" s="54"/>
      <c r="CJ858" s="54"/>
      <c r="CK858" s="67"/>
      <c r="CL858" s="78"/>
      <c r="CM858" s="70"/>
      <c r="CN858" s="229"/>
      <c r="CO858" s="229"/>
      <c r="CP858" s="229"/>
      <c r="CQ858" s="229"/>
      <c r="CR858" s="229"/>
      <c r="CS858" s="229"/>
      <c r="CT858" s="229"/>
      <c r="CU858" s="229"/>
      <c r="CV858" s="229"/>
      <c r="CW858" s="229"/>
    </row>
    <row r="859" ht="15.75" hidden="1" customHeight="1">
      <c r="CD859" s="64"/>
      <c r="CE859" s="65"/>
      <c r="CF859" s="62"/>
      <c r="CG859" s="62"/>
      <c r="CH859" s="66"/>
      <c r="CI859" s="54"/>
      <c r="CJ859" s="54"/>
      <c r="CK859" s="67"/>
      <c r="CL859" s="78"/>
      <c r="CM859" s="70"/>
      <c r="CN859" s="229"/>
      <c r="CO859" s="229"/>
      <c r="CP859" s="229"/>
      <c r="CQ859" s="229"/>
      <c r="CR859" s="229"/>
      <c r="CS859" s="229"/>
      <c r="CT859" s="229"/>
      <c r="CU859" s="229"/>
      <c r="CV859" s="229"/>
      <c r="CW859" s="229"/>
    </row>
    <row r="860" ht="15.75" hidden="1" customHeight="1">
      <c r="CD860" s="64"/>
      <c r="CE860" s="65"/>
      <c r="CF860" s="62"/>
      <c r="CG860" s="62"/>
      <c r="CH860" s="66"/>
      <c r="CI860" s="54"/>
      <c r="CJ860" s="54"/>
      <c r="CK860" s="67"/>
      <c r="CL860" s="78"/>
      <c r="CM860" s="70"/>
      <c r="CN860" s="229"/>
      <c r="CO860" s="229"/>
      <c r="CP860" s="229"/>
      <c r="CQ860" s="229"/>
      <c r="CR860" s="229"/>
      <c r="CS860" s="229"/>
      <c r="CT860" s="229"/>
      <c r="CU860" s="229"/>
      <c r="CV860" s="229"/>
      <c r="CW860" s="229"/>
    </row>
    <row r="861" ht="15.75" hidden="1" customHeight="1">
      <c r="CD861" s="64"/>
      <c r="CE861" s="65"/>
      <c r="CF861" s="62"/>
      <c r="CG861" s="62"/>
      <c r="CH861" s="66"/>
      <c r="CI861" s="54"/>
      <c r="CJ861" s="54"/>
      <c r="CK861" s="67"/>
      <c r="CL861" s="78"/>
      <c r="CM861" s="70"/>
      <c r="CN861" s="229"/>
      <c r="CO861" s="229"/>
      <c r="CP861" s="229"/>
      <c r="CQ861" s="229"/>
      <c r="CR861" s="229"/>
      <c r="CS861" s="229"/>
      <c r="CT861" s="229"/>
      <c r="CU861" s="229"/>
      <c r="CV861" s="229"/>
      <c r="CW861" s="229"/>
    </row>
    <row r="862" ht="15.75" hidden="1" customHeight="1">
      <c r="CD862" s="64"/>
      <c r="CE862" s="65"/>
      <c r="CF862" s="62"/>
      <c r="CG862" s="62"/>
      <c r="CH862" s="66"/>
      <c r="CI862" s="54"/>
      <c r="CJ862" s="54"/>
      <c r="CK862" s="67"/>
      <c r="CL862" s="78"/>
      <c r="CM862" s="70"/>
      <c r="CN862" s="229"/>
      <c r="CO862" s="229"/>
      <c r="CP862" s="229"/>
      <c r="CQ862" s="229"/>
      <c r="CR862" s="229"/>
      <c r="CS862" s="229"/>
      <c r="CT862" s="229"/>
      <c r="CU862" s="229"/>
      <c r="CV862" s="229"/>
      <c r="CW862" s="229"/>
    </row>
    <row r="863" ht="15.75" hidden="1" customHeight="1">
      <c r="CD863" s="64"/>
      <c r="CE863" s="65"/>
      <c r="CF863" s="62"/>
      <c r="CG863" s="62"/>
      <c r="CH863" s="66"/>
      <c r="CI863" s="54"/>
      <c r="CJ863" s="54"/>
      <c r="CK863" s="67"/>
      <c r="CL863" s="78"/>
      <c r="CM863" s="70"/>
      <c r="CN863" s="229"/>
      <c r="CO863" s="229"/>
      <c r="CP863" s="229"/>
      <c r="CQ863" s="229"/>
      <c r="CR863" s="229"/>
      <c r="CS863" s="229"/>
      <c r="CT863" s="229"/>
      <c r="CU863" s="229"/>
      <c r="CV863" s="229"/>
      <c r="CW863" s="229"/>
    </row>
    <row r="864" ht="15.75" hidden="1" customHeight="1">
      <c r="CD864" s="64"/>
      <c r="CE864" s="65"/>
      <c r="CF864" s="62"/>
      <c r="CG864" s="62"/>
      <c r="CH864" s="66"/>
      <c r="CI864" s="54"/>
      <c r="CJ864" s="54"/>
      <c r="CK864" s="67"/>
      <c r="CL864" s="78"/>
      <c r="CM864" s="70"/>
      <c r="CN864" s="229"/>
      <c r="CO864" s="229"/>
      <c r="CP864" s="229"/>
      <c r="CQ864" s="229"/>
      <c r="CR864" s="229"/>
      <c r="CS864" s="229"/>
      <c r="CT864" s="229"/>
      <c r="CU864" s="229"/>
      <c r="CV864" s="229"/>
      <c r="CW864" s="229"/>
    </row>
    <row r="865" ht="15.75" hidden="1" customHeight="1">
      <c r="CD865" s="86"/>
      <c r="CE865" s="87"/>
      <c r="CF865" s="62"/>
      <c r="CG865" s="62"/>
      <c r="CH865" s="88"/>
      <c r="CI865" s="89"/>
      <c r="CJ865" s="89"/>
      <c r="CK865" s="90"/>
      <c r="CL865" s="91"/>
      <c r="CM865" s="92"/>
      <c r="CN865" s="229"/>
      <c r="CO865" s="229"/>
      <c r="CP865" s="229"/>
      <c r="CQ865" s="229"/>
      <c r="CR865" s="229"/>
      <c r="CS865" s="229"/>
      <c r="CT865" s="229"/>
      <c r="CU865" s="229"/>
      <c r="CV865" s="229"/>
      <c r="CW865" s="229"/>
    </row>
    <row r="866" ht="15.75" hidden="1" customHeight="1">
      <c r="CD866" s="64"/>
      <c r="CE866" s="65"/>
      <c r="CF866" s="62"/>
      <c r="CG866" s="62"/>
      <c r="CH866" s="66"/>
      <c r="CI866" s="54"/>
      <c r="CJ866" s="54"/>
      <c r="CK866" s="67"/>
      <c r="CL866" s="78"/>
      <c r="CM866" s="70"/>
      <c r="CN866" s="229"/>
      <c r="CO866" s="229"/>
      <c r="CP866" s="229"/>
      <c r="CQ866" s="229"/>
      <c r="CR866" s="229"/>
      <c r="CS866" s="229"/>
      <c r="CT866" s="229"/>
      <c r="CU866" s="229"/>
      <c r="CV866" s="229"/>
      <c r="CW866" s="229"/>
    </row>
    <row r="867" ht="15.75" hidden="1" customHeight="1">
      <c r="CD867" s="64"/>
      <c r="CE867" s="65"/>
      <c r="CF867" s="62"/>
      <c r="CG867" s="62"/>
      <c r="CH867" s="66"/>
      <c r="CI867" s="54"/>
      <c r="CJ867" s="54"/>
      <c r="CK867" s="67"/>
      <c r="CL867" s="78"/>
      <c r="CM867" s="70"/>
      <c r="CN867" s="229"/>
      <c r="CO867" s="229"/>
      <c r="CP867" s="229"/>
      <c r="CQ867" s="229"/>
      <c r="CR867" s="229"/>
      <c r="CS867" s="229"/>
      <c r="CT867" s="229"/>
      <c r="CU867" s="229"/>
      <c r="CV867" s="229"/>
      <c r="CW867" s="229"/>
    </row>
    <row r="868" ht="15.75" hidden="1" customHeight="1">
      <c r="CD868" s="64"/>
      <c r="CE868" s="65"/>
      <c r="CF868" s="62"/>
      <c r="CG868" s="62"/>
      <c r="CH868" s="66"/>
      <c r="CI868" s="54"/>
      <c r="CJ868" s="54"/>
      <c r="CK868" s="67"/>
      <c r="CL868" s="78"/>
      <c r="CM868" s="70"/>
      <c r="CN868" s="229"/>
      <c r="CO868" s="229"/>
      <c r="CP868" s="229"/>
      <c r="CQ868" s="229"/>
      <c r="CR868" s="229"/>
      <c r="CS868" s="229"/>
      <c r="CT868" s="229"/>
      <c r="CU868" s="229"/>
      <c r="CV868" s="229"/>
      <c r="CW868" s="229"/>
    </row>
    <row r="869" ht="15.75" hidden="1" customHeight="1">
      <c r="CD869" s="64"/>
      <c r="CE869" s="65"/>
      <c r="CF869" s="62"/>
      <c r="CG869" s="62"/>
      <c r="CH869" s="66"/>
      <c r="CI869" s="54"/>
      <c r="CJ869" s="54"/>
      <c r="CK869" s="67"/>
      <c r="CL869" s="78"/>
      <c r="CM869" s="70"/>
      <c r="CN869" s="229"/>
      <c r="CO869" s="229"/>
      <c r="CP869" s="229"/>
      <c r="CQ869" s="229"/>
      <c r="CR869" s="229"/>
      <c r="CS869" s="229"/>
      <c r="CT869" s="229"/>
      <c r="CU869" s="229"/>
      <c r="CV869" s="229"/>
      <c r="CW869" s="229"/>
    </row>
    <row r="870" ht="15.75" hidden="1" customHeight="1">
      <c r="CD870" s="64"/>
      <c r="CE870" s="65"/>
      <c r="CF870" s="62"/>
      <c r="CG870" s="62"/>
      <c r="CH870" s="66"/>
      <c r="CI870" s="54"/>
      <c r="CJ870" s="54"/>
      <c r="CK870" s="67"/>
      <c r="CL870" s="78"/>
      <c r="CM870" s="70"/>
      <c r="CN870" s="229"/>
      <c r="CO870" s="229"/>
      <c r="CP870" s="229"/>
      <c r="CQ870" s="229"/>
      <c r="CR870" s="229"/>
      <c r="CS870" s="229"/>
      <c r="CT870" s="229"/>
      <c r="CU870" s="229"/>
      <c r="CV870" s="229"/>
      <c r="CW870" s="229"/>
    </row>
    <row r="871" ht="15.75" hidden="1" customHeight="1">
      <c r="CD871" s="64"/>
      <c r="CE871" s="65"/>
      <c r="CF871" s="62"/>
      <c r="CG871" s="62"/>
      <c r="CH871" s="66"/>
      <c r="CI871" s="54"/>
      <c r="CJ871" s="54"/>
      <c r="CK871" s="67"/>
      <c r="CL871" s="78"/>
      <c r="CM871" s="70"/>
      <c r="CN871" s="229"/>
      <c r="CO871" s="229"/>
      <c r="CP871" s="229"/>
      <c r="CQ871" s="229"/>
      <c r="CR871" s="229"/>
      <c r="CS871" s="229"/>
      <c r="CT871" s="229"/>
      <c r="CU871" s="229"/>
      <c r="CV871" s="229"/>
      <c r="CW871" s="229"/>
    </row>
    <row r="872" ht="15.75" hidden="1" customHeight="1">
      <c r="CD872" s="64"/>
      <c r="CE872" s="65"/>
      <c r="CF872" s="62"/>
      <c r="CG872" s="62"/>
      <c r="CH872" s="66"/>
      <c r="CI872" s="54"/>
      <c r="CJ872" s="54"/>
      <c r="CK872" s="67"/>
      <c r="CL872" s="78"/>
      <c r="CM872" s="70"/>
      <c r="CN872" s="229"/>
      <c r="CO872" s="229"/>
      <c r="CP872" s="229"/>
      <c r="CQ872" s="229"/>
      <c r="CR872" s="229"/>
      <c r="CS872" s="229"/>
      <c r="CT872" s="229"/>
      <c r="CU872" s="229"/>
      <c r="CV872" s="229"/>
      <c r="CW872" s="229"/>
    </row>
    <row r="873" ht="15.75" hidden="1" customHeight="1">
      <c r="CD873" s="64"/>
      <c r="CE873" s="65"/>
      <c r="CF873" s="62"/>
      <c r="CG873" s="62"/>
      <c r="CH873" s="66"/>
      <c r="CI873" s="54"/>
      <c r="CJ873" s="54"/>
      <c r="CK873" s="67"/>
      <c r="CL873" s="78"/>
      <c r="CM873" s="70"/>
      <c r="CN873" s="229"/>
      <c r="CO873" s="229"/>
      <c r="CP873" s="229"/>
      <c r="CQ873" s="229"/>
      <c r="CR873" s="229"/>
      <c r="CS873" s="229"/>
      <c r="CT873" s="229"/>
      <c r="CU873" s="229"/>
      <c r="CV873" s="229"/>
      <c r="CW873" s="229"/>
    </row>
    <row r="874" ht="15.75" hidden="1" customHeight="1">
      <c r="CD874" s="64"/>
      <c r="CE874" s="65"/>
      <c r="CF874" s="62"/>
      <c r="CG874" s="62"/>
      <c r="CH874" s="66"/>
      <c r="CI874" s="54"/>
      <c r="CJ874" s="54"/>
      <c r="CK874" s="67"/>
      <c r="CL874" s="78"/>
      <c r="CM874" s="70"/>
      <c r="CN874" s="229"/>
      <c r="CO874" s="229"/>
      <c r="CP874" s="229"/>
      <c r="CQ874" s="229"/>
      <c r="CR874" s="229"/>
      <c r="CS874" s="229"/>
      <c r="CT874" s="229"/>
      <c r="CU874" s="229"/>
      <c r="CV874" s="229"/>
      <c r="CW874" s="229"/>
    </row>
    <row r="875" ht="15.75" hidden="1" customHeight="1">
      <c r="CD875" s="64"/>
      <c r="CE875" s="65"/>
      <c r="CF875" s="62"/>
      <c r="CG875" s="62"/>
      <c r="CH875" s="66"/>
      <c r="CI875" s="54"/>
      <c r="CJ875" s="54"/>
      <c r="CK875" s="67"/>
      <c r="CL875" s="78"/>
      <c r="CM875" s="70"/>
      <c r="CN875" s="229"/>
      <c r="CO875" s="229"/>
      <c r="CP875" s="229"/>
      <c r="CQ875" s="229"/>
      <c r="CR875" s="229"/>
      <c r="CS875" s="229"/>
      <c r="CT875" s="229"/>
      <c r="CU875" s="229"/>
      <c r="CV875" s="229"/>
      <c r="CW875" s="229"/>
    </row>
    <row r="876" ht="15.75" hidden="1" customHeight="1">
      <c r="CD876" s="64"/>
      <c r="CE876" s="65"/>
      <c r="CF876" s="62"/>
      <c r="CG876" s="62"/>
      <c r="CH876" s="66"/>
      <c r="CI876" s="54"/>
      <c r="CJ876" s="54"/>
      <c r="CK876" s="67"/>
      <c r="CL876" s="78"/>
      <c r="CM876" s="70"/>
      <c r="CN876" s="229"/>
      <c r="CO876" s="229"/>
      <c r="CP876" s="229"/>
      <c r="CQ876" s="229"/>
      <c r="CR876" s="229"/>
      <c r="CS876" s="229"/>
      <c r="CT876" s="229"/>
      <c r="CU876" s="229"/>
      <c r="CV876" s="229"/>
      <c r="CW876" s="229"/>
    </row>
    <row r="877" ht="15.75" hidden="1" customHeight="1">
      <c r="CD877" s="64"/>
      <c r="CE877" s="65"/>
      <c r="CF877" s="62"/>
      <c r="CG877" s="62"/>
      <c r="CH877" s="66"/>
      <c r="CI877" s="54"/>
      <c r="CJ877" s="54"/>
      <c r="CK877" s="67"/>
      <c r="CL877" s="78"/>
      <c r="CM877" s="70"/>
      <c r="CN877" s="229"/>
      <c r="CO877" s="229"/>
      <c r="CP877" s="229"/>
      <c r="CQ877" s="229"/>
      <c r="CR877" s="229"/>
      <c r="CS877" s="229"/>
      <c r="CT877" s="229"/>
      <c r="CU877" s="229"/>
      <c r="CV877" s="229"/>
      <c r="CW877" s="229"/>
    </row>
    <row r="878" ht="15.75" hidden="1" customHeight="1">
      <c r="CD878" s="64"/>
      <c r="CE878" s="65"/>
      <c r="CF878" s="62"/>
      <c r="CG878" s="62"/>
      <c r="CH878" s="66"/>
      <c r="CI878" s="54"/>
      <c r="CJ878" s="54"/>
      <c r="CK878" s="67"/>
      <c r="CL878" s="78"/>
      <c r="CM878" s="70"/>
      <c r="CN878" s="229"/>
      <c r="CO878" s="229"/>
      <c r="CP878" s="229"/>
      <c r="CQ878" s="229"/>
      <c r="CR878" s="229"/>
      <c r="CS878" s="229"/>
      <c r="CT878" s="229"/>
      <c r="CU878" s="229"/>
      <c r="CV878" s="229"/>
      <c r="CW878" s="229"/>
    </row>
    <row r="879" ht="15.75" hidden="1" customHeight="1">
      <c r="CD879" s="64"/>
      <c r="CE879" s="65"/>
      <c r="CF879" s="62"/>
      <c r="CG879" s="62"/>
      <c r="CH879" s="66"/>
      <c r="CI879" s="54"/>
      <c r="CJ879" s="54"/>
      <c r="CK879" s="67"/>
      <c r="CL879" s="78"/>
      <c r="CM879" s="70"/>
      <c r="CN879" s="229"/>
      <c r="CO879" s="229"/>
      <c r="CP879" s="229"/>
      <c r="CQ879" s="229"/>
      <c r="CR879" s="229"/>
      <c r="CS879" s="229"/>
      <c r="CT879" s="229"/>
      <c r="CU879" s="229"/>
      <c r="CV879" s="229"/>
      <c r="CW879" s="229"/>
    </row>
    <row r="880" ht="15.75" hidden="1" customHeight="1">
      <c r="CD880" s="64"/>
      <c r="CE880" s="65"/>
      <c r="CF880" s="62"/>
      <c r="CG880" s="62"/>
      <c r="CH880" s="66"/>
      <c r="CI880" s="54"/>
      <c r="CJ880" s="54"/>
      <c r="CK880" s="67"/>
      <c r="CL880" s="78"/>
      <c r="CM880" s="70"/>
      <c r="CN880" s="229"/>
      <c r="CO880" s="229"/>
      <c r="CP880" s="229"/>
      <c r="CQ880" s="229"/>
      <c r="CR880" s="229"/>
      <c r="CS880" s="229"/>
      <c r="CT880" s="229"/>
      <c r="CU880" s="229"/>
      <c r="CV880" s="229"/>
      <c r="CW880" s="229"/>
    </row>
    <row r="881" ht="15.75" hidden="1" customHeight="1">
      <c r="CD881" s="64"/>
      <c r="CE881" s="65"/>
      <c r="CF881" s="62"/>
      <c r="CG881" s="62"/>
      <c r="CH881" s="66"/>
      <c r="CI881" s="54"/>
      <c r="CJ881" s="54"/>
      <c r="CK881" s="67"/>
      <c r="CL881" s="78"/>
      <c r="CM881" s="70"/>
      <c r="CN881" s="229"/>
      <c r="CO881" s="229"/>
      <c r="CP881" s="229"/>
      <c r="CQ881" s="229"/>
      <c r="CR881" s="229"/>
      <c r="CS881" s="229"/>
      <c r="CT881" s="229"/>
      <c r="CU881" s="229"/>
      <c r="CV881" s="229"/>
      <c r="CW881" s="229"/>
    </row>
    <row r="882" ht="15.75" hidden="1" customHeight="1">
      <c r="CD882" s="64"/>
      <c r="CE882" s="65"/>
      <c r="CF882" s="62"/>
      <c r="CG882" s="62"/>
      <c r="CH882" s="66"/>
      <c r="CI882" s="54"/>
      <c r="CJ882" s="54"/>
      <c r="CK882" s="67"/>
      <c r="CL882" s="78"/>
      <c r="CM882" s="70"/>
      <c r="CN882" s="229"/>
      <c r="CO882" s="229"/>
      <c r="CP882" s="229"/>
      <c r="CQ882" s="229"/>
      <c r="CR882" s="229"/>
      <c r="CS882" s="229"/>
      <c r="CT882" s="229"/>
      <c r="CU882" s="229"/>
      <c r="CV882" s="229"/>
      <c r="CW882" s="229"/>
    </row>
    <row r="883" ht="15.75" hidden="1" customHeight="1">
      <c r="CD883" s="64"/>
      <c r="CE883" s="65"/>
      <c r="CF883" s="62"/>
      <c r="CG883" s="62"/>
      <c r="CH883" s="66"/>
      <c r="CI883" s="54"/>
      <c r="CJ883" s="54"/>
      <c r="CK883" s="67"/>
      <c r="CL883" s="78"/>
      <c r="CM883" s="70"/>
      <c r="CN883" s="229"/>
      <c r="CO883" s="229"/>
      <c r="CP883" s="229"/>
      <c r="CQ883" s="229"/>
      <c r="CR883" s="229"/>
      <c r="CS883" s="229"/>
      <c r="CT883" s="229"/>
      <c r="CU883" s="229"/>
      <c r="CV883" s="229"/>
      <c r="CW883" s="229"/>
    </row>
    <row r="884" ht="15.75" hidden="1" customHeight="1">
      <c r="CD884" s="64"/>
      <c r="CE884" s="65"/>
      <c r="CF884" s="62"/>
      <c r="CG884" s="62"/>
      <c r="CH884" s="66"/>
      <c r="CI884" s="54"/>
      <c r="CJ884" s="54"/>
      <c r="CK884" s="67"/>
      <c r="CL884" s="78"/>
      <c r="CM884" s="70"/>
      <c r="CN884" s="229"/>
      <c r="CO884" s="229"/>
      <c r="CP884" s="229"/>
      <c r="CQ884" s="229"/>
      <c r="CR884" s="229"/>
      <c r="CS884" s="229"/>
      <c r="CT884" s="229"/>
      <c r="CU884" s="229"/>
      <c r="CV884" s="229"/>
      <c r="CW884" s="229"/>
    </row>
    <row r="885" ht="15.75" hidden="1" customHeight="1">
      <c r="CD885" s="64"/>
      <c r="CE885" s="65"/>
      <c r="CF885" s="62"/>
      <c r="CG885" s="62"/>
      <c r="CH885" s="66"/>
      <c r="CI885" s="54"/>
      <c r="CJ885" s="54"/>
      <c r="CK885" s="67"/>
      <c r="CL885" s="78"/>
      <c r="CM885" s="70"/>
      <c r="CN885" s="229"/>
      <c r="CO885" s="229"/>
      <c r="CP885" s="229"/>
      <c r="CQ885" s="229"/>
      <c r="CR885" s="229"/>
      <c r="CS885" s="229"/>
      <c r="CT885" s="229"/>
      <c r="CU885" s="229"/>
      <c r="CV885" s="229"/>
      <c r="CW885" s="229"/>
    </row>
    <row r="886" ht="15.75" hidden="1" customHeight="1">
      <c r="CD886" s="64"/>
      <c r="CE886" s="65"/>
      <c r="CF886" s="62"/>
      <c r="CG886" s="62"/>
      <c r="CH886" s="66"/>
      <c r="CI886" s="54"/>
      <c r="CJ886" s="54"/>
      <c r="CK886" s="67"/>
      <c r="CL886" s="78"/>
      <c r="CM886" s="70"/>
      <c r="CN886" s="229"/>
      <c r="CO886" s="229"/>
      <c r="CP886" s="229"/>
      <c r="CQ886" s="229"/>
      <c r="CR886" s="229"/>
      <c r="CS886" s="229"/>
      <c r="CT886" s="229"/>
      <c r="CU886" s="229"/>
      <c r="CV886" s="229"/>
      <c r="CW886" s="229"/>
    </row>
    <row r="887" ht="15.75" hidden="1" customHeight="1">
      <c r="CD887" s="64"/>
      <c r="CE887" s="65"/>
      <c r="CF887" s="62"/>
      <c r="CG887" s="62"/>
      <c r="CH887" s="66"/>
      <c r="CI887" s="54"/>
      <c r="CJ887" s="54"/>
      <c r="CK887" s="67"/>
      <c r="CL887" s="78"/>
      <c r="CM887" s="70"/>
      <c r="CN887" s="229"/>
      <c r="CO887" s="229"/>
      <c r="CP887" s="229"/>
      <c r="CQ887" s="229"/>
      <c r="CR887" s="229"/>
      <c r="CS887" s="229"/>
      <c r="CT887" s="229"/>
      <c r="CU887" s="229"/>
      <c r="CV887" s="229"/>
      <c r="CW887" s="229"/>
    </row>
    <row r="888" ht="15.75" hidden="1" customHeight="1">
      <c r="CD888" s="64"/>
      <c r="CE888" s="65"/>
      <c r="CF888" s="62"/>
      <c r="CG888" s="62"/>
      <c r="CH888" s="66"/>
      <c r="CI888" s="54"/>
      <c r="CJ888" s="54"/>
      <c r="CK888" s="67"/>
      <c r="CL888" s="78"/>
      <c r="CM888" s="70"/>
      <c r="CN888" s="229"/>
      <c r="CO888" s="229"/>
      <c r="CP888" s="229"/>
      <c r="CQ888" s="229"/>
      <c r="CR888" s="229"/>
      <c r="CS888" s="229"/>
      <c r="CT888" s="229"/>
      <c r="CU888" s="229"/>
      <c r="CV888" s="229"/>
      <c r="CW888" s="229"/>
    </row>
    <row r="889" ht="15.75" hidden="1" customHeight="1">
      <c r="CD889" s="64"/>
      <c r="CE889" s="65"/>
      <c r="CF889" s="62"/>
      <c r="CG889" s="62"/>
      <c r="CH889" s="66"/>
      <c r="CI889" s="54"/>
      <c r="CJ889" s="54"/>
      <c r="CK889" s="67"/>
      <c r="CL889" s="78"/>
      <c r="CM889" s="70"/>
      <c r="CN889" s="229"/>
      <c r="CO889" s="229"/>
      <c r="CP889" s="229"/>
      <c r="CQ889" s="229"/>
      <c r="CR889" s="229"/>
      <c r="CS889" s="229"/>
      <c r="CT889" s="229"/>
      <c r="CU889" s="229"/>
      <c r="CV889" s="229"/>
      <c r="CW889" s="229"/>
    </row>
    <row r="890" ht="15.75" hidden="1" customHeight="1">
      <c r="CD890" s="64"/>
      <c r="CE890" s="65"/>
      <c r="CF890" s="55"/>
      <c r="CG890" s="55"/>
      <c r="CH890" s="66"/>
      <c r="CI890" s="54"/>
      <c r="CJ890" s="54"/>
      <c r="CK890" s="67"/>
      <c r="CL890" s="78"/>
      <c r="CM890" s="70"/>
      <c r="CN890" s="229"/>
      <c r="CO890" s="229"/>
      <c r="CP890" s="229"/>
      <c r="CQ890" s="229"/>
      <c r="CR890" s="229"/>
      <c r="CS890" s="229"/>
      <c r="CT890" s="229"/>
      <c r="CU890" s="229"/>
      <c r="CV890" s="229"/>
      <c r="CW890" s="229"/>
    </row>
    <row r="891" ht="15.75" hidden="1" customHeight="1">
      <c r="CD891" s="45"/>
      <c r="CE891" s="46"/>
      <c r="CF891" s="46"/>
      <c r="CG891" s="46"/>
      <c r="CH891" s="46"/>
      <c r="CI891" s="46"/>
      <c r="CJ891" s="46"/>
      <c r="CK891" s="46"/>
      <c r="CL891" s="46"/>
      <c r="CM891" s="106"/>
      <c r="CN891" s="229"/>
      <c r="CO891" s="229"/>
      <c r="CP891" s="229"/>
      <c r="CQ891" s="229"/>
      <c r="CR891" s="229"/>
      <c r="CS891" s="229"/>
      <c r="CT891" s="229"/>
      <c r="CU891" s="229"/>
      <c r="CV891" s="229"/>
      <c r="CW891" s="229"/>
    </row>
    <row r="892" ht="15.75" hidden="1" customHeight="1">
      <c r="CD892" s="64"/>
      <c r="CE892" s="54"/>
      <c r="CF892" s="55"/>
      <c r="CG892" s="55"/>
      <c r="CH892" s="54"/>
      <c r="CI892" s="54"/>
      <c r="CJ892" s="54"/>
      <c r="CK892" s="16"/>
      <c r="CL892" s="55"/>
      <c r="CM892" s="70"/>
      <c r="CN892" s="229"/>
      <c r="CO892" s="229"/>
      <c r="CP892" s="229"/>
      <c r="CQ892" s="229"/>
      <c r="CR892" s="229"/>
      <c r="CS892" s="229"/>
      <c r="CT892" s="229"/>
      <c r="CU892" s="229"/>
      <c r="CV892" s="229"/>
      <c r="CW892" s="229"/>
    </row>
    <row r="893" ht="15.75" hidden="1" customHeight="1">
      <c r="CD893" s="64"/>
      <c r="CE893" s="109"/>
      <c r="CF893" s="55"/>
      <c r="CG893" s="55"/>
      <c r="CH893" s="54"/>
      <c r="CI893" s="54"/>
      <c r="CJ893" s="54"/>
      <c r="CK893" s="54"/>
      <c r="CL893" s="55"/>
      <c r="CM893" s="70"/>
      <c r="CN893" s="229"/>
      <c r="CO893" s="229"/>
      <c r="CP893" s="229"/>
      <c r="CQ893" s="229"/>
      <c r="CR893" s="229"/>
      <c r="CS893" s="229"/>
      <c r="CT893" s="229"/>
      <c r="CU893" s="229"/>
      <c r="CV893" s="229"/>
      <c r="CW893" s="229"/>
    </row>
    <row r="894" ht="15.75" hidden="1" customHeight="1">
      <c r="CD894" s="115"/>
      <c r="CE894" s="119"/>
      <c r="CF894" s="120"/>
      <c r="CG894" s="116"/>
      <c r="CH894" s="117"/>
      <c r="CI894" s="116"/>
      <c r="CJ894" s="118"/>
      <c r="CK894" s="117"/>
      <c r="CL894" s="55"/>
      <c r="CM894" s="70"/>
      <c r="CN894" s="229"/>
      <c r="CO894" s="229"/>
      <c r="CP894" s="229"/>
      <c r="CQ894" s="229"/>
      <c r="CR894" s="229"/>
      <c r="CS894" s="229"/>
      <c r="CT894" s="229"/>
      <c r="CU894" s="229"/>
      <c r="CV894" s="229"/>
      <c r="CW894" s="229"/>
    </row>
    <row r="895" ht="15.75" hidden="1" customHeight="1">
      <c r="CD895" s="127"/>
      <c r="CE895" s="128"/>
      <c r="CF895" s="126"/>
      <c r="CG895" s="128"/>
      <c r="CH895" s="126"/>
      <c r="CI895" s="129"/>
      <c r="CJ895" s="130"/>
      <c r="CK895" s="131"/>
      <c r="CL895" s="55"/>
      <c r="CM895" s="40"/>
      <c r="CN895" s="229"/>
      <c r="CO895" s="229"/>
      <c r="CP895" s="229"/>
      <c r="CQ895" s="229"/>
      <c r="CR895" s="229"/>
      <c r="CS895" s="229"/>
      <c r="CT895" s="229"/>
      <c r="CU895" s="229"/>
      <c r="CV895" s="229"/>
      <c r="CW895" s="229"/>
    </row>
    <row r="896" ht="15.75" hidden="1" customHeight="1">
      <c r="CD896" s="127"/>
      <c r="CE896" s="128"/>
      <c r="CF896" s="126"/>
      <c r="CG896" s="128"/>
      <c r="CH896" s="126"/>
      <c r="CI896" s="129"/>
      <c r="CJ896" s="130"/>
      <c r="CK896" s="131"/>
      <c r="CL896" s="55"/>
      <c r="CM896" s="40"/>
      <c r="CN896" s="229"/>
      <c r="CO896" s="229"/>
      <c r="CP896" s="229"/>
      <c r="CQ896" s="229"/>
      <c r="CR896" s="229"/>
      <c r="CS896" s="229"/>
      <c r="CT896" s="229"/>
      <c r="CU896" s="229"/>
      <c r="CV896" s="229"/>
      <c r="CW896" s="229"/>
    </row>
    <row r="897" ht="15.75" hidden="1" customHeight="1">
      <c r="CD897" s="127"/>
      <c r="CE897" s="128"/>
      <c r="CF897" s="126"/>
      <c r="CG897" s="128"/>
      <c r="CH897" s="126"/>
      <c r="CI897" s="129"/>
      <c r="CJ897" s="130"/>
      <c r="CK897" s="131"/>
      <c r="CL897" s="55"/>
      <c r="CM897" s="40"/>
      <c r="CN897" s="229"/>
      <c r="CO897" s="229"/>
      <c r="CP897" s="229"/>
      <c r="CQ897" s="229"/>
      <c r="CR897" s="229"/>
      <c r="CS897" s="229"/>
      <c r="CT897" s="229"/>
      <c r="CU897" s="229"/>
      <c r="CV897" s="229"/>
      <c r="CW897" s="229"/>
    </row>
    <row r="898" ht="15.75" hidden="1" customHeight="1">
      <c r="CD898" s="127"/>
      <c r="CE898" s="128"/>
      <c r="CF898" s="126"/>
      <c r="CG898" s="128"/>
      <c r="CH898" s="126"/>
      <c r="CI898" s="129"/>
      <c r="CJ898" s="130"/>
      <c r="CK898" s="131"/>
      <c r="CL898" s="55"/>
      <c r="CM898" s="40"/>
      <c r="CN898" s="229"/>
      <c r="CO898" s="229"/>
      <c r="CP898" s="229"/>
      <c r="CQ898" s="229"/>
      <c r="CR898" s="229"/>
      <c r="CS898" s="229"/>
      <c r="CT898" s="229"/>
      <c r="CU898" s="229"/>
      <c r="CV898" s="229"/>
      <c r="CW898" s="229"/>
    </row>
    <row r="899" ht="15.75" hidden="1" customHeight="1">
      <c r="CD899" s="143"/>
      <c r="CE899" s="128"/>
      <c r="CF899" s="126"/>
      <c r="CG899" s="128"/>
      <c r="CH899" s="126"/>
      <c r="CI899" s="129"/>
      <c r="CJ899" s="130"/>
      <c r="CK899" s="131"/>
      <c r="CL899" s="55"/>
      <c r="CM899" s="40"/>
      <c r="CN899" s="229"/>
      <c r="CO899" s="229"/>
      <c r="CP899" s="229"/>
      <c r="CQ899" s="229"/>
      <c r="CR899" s="229"/>
      <c r="CS899" s="229"/>
      <c r="CT899" s="229"/>
      <c r="CU899" s="229"/>
      <c r="CV899" s="229"/>
      <c r="CW899" s="229"/>
    </row>
    <row r="900" ht="15.75" hidden="1" customHeight="1">
      <c r="CD900" s="143"/>
      <c r="CE900" s="128"/>
      <c r="CF900" s="126"/>
      <c r="CG900" s="128"/>
      <c r="CH900" s="126"/>
      <c r="CI900" s="129"/>
      <c r="CJ900" s="130"/>
      <c r="CK900" s="131"/>
      <c r="CL900" s="55"/>
      <c r="CM900" s="40"/>
      <c r="CN900" s="229"/>
      <c r="CO900" s="229"/>
      <c r="CP900" s="229"/>
      <c r="CQ900" s="229"/>
      <c r="CR900" s="229"/>
      <c r="CS900" s="229"/>
      <c r="CT900" s="229"/>
      <c r="CU900" s="229"/>
      <c r="CV900" s="229"/>
      <c r="CW900" s="229"/>
    </row>
    <row r="901" ht="15.75" hidden="1" customHeight="1">
      <c r="CD901" s="143"/>
      <c r="CE901" s="128"/>
      <c r="CF901" s="126"/>
      <c r="CG901" s="128"/>
      <c r="CH901" s="126"/>
      <c r="CI901" s="129"/>
      <c r="CJ901" s="130"/>
      <c r="CK901" s="131"/>
      <c r="CL901" s="55"/>
      <c r="CM901" s="40"/>
      <c r="CN901" s="229"/>
      <c r="CO901" s="229"/>
      <c r="CP901" s="229"/>
      <c r="CQ901" s="229"/>
      <c r="CR901" s="229"/>
      <c r="CS901" s="229"/>
      <c r="CT901" s="229"/>
      <c r="CU901" s="229"/>
      <c r="CV901" s="229"/>
      <c r="CW901" s="229"/>
    </row>
    <row r="902" ht="15.75" hidden="1" customHeight="1">
      <c r="CD902" s="143"/>
      <c r="CE902" s="128"/>
      <c r="CF902" s="126"/>
      <c r="CG902" s="128"/>
      <c r="CH902" s="126"/>
      <c r="CI902" s="129"/>
      <c r="CJ902" s="130"/>
      <c r="CK902" s="131"/>
      <c r="CL902" s="55"/>
      <c r="CM902" s="40"/>
      <c r="CN902" s="229"/>
      <c r="CO902" s="229"/>
      <c r="CP902" s="229"/>
      <c r="CQ902" s="229"/>
      <c r="CR902" s="229"/>
      <c r="CS902" s="229"/>
      <c r="CT902" s="229"/>
      <c r="CU902" s="229"/>
      <c r="CV902" s="229"/>
      <c r="CW902" s="229"/>
    </row>
    <row r="903" ht="15.75" hidden="1" customHeight="1">
      <c r="CD903" s="145"/>
      <c r="CE903" s="128"/>
      <c r="CF903" s="126"/>
      <c r="CG903" s="128"/>
      <c r="CH903" s="126"/>
      <c r="CI903" s="129"/>
      <c r="CJ903" s="130"/>
      <c r="CK903" s="131"/>
      <c r="CL903" s="55"/>
      <c r="CM903" s="40"/>
      <c r="CN903" s="229"/>
      <c r="CO903" s="229"/>
      <c r="CP903" s="229"/>
      <c r="CQ903" s="229"/>
      <c r="CR903" s="229"/>
      <c r="CS903" s="229"/>
      <c r="CT903" s="229"/>
      <c r="CU903" s="229"/>
      <c r="CV903" s="229"/>
      <c r="CW903" s="229"/>
    </row>
    <row r="904" ht="15.75" hidden="1" customHeight="1">
      <c r="CD904" s="145"/>
      <c r="CE904" s="128"/>
      <c r="CF904" s="126"/>
      <c r="CG904" s="128"/>
      <c r="CH904" s="126"/>
      <c r="CI904" s="129"/>
      <c r="CJ904" s="130"/>
      <c r="CK904" s="131"/>
      <c r="CL904" s="55"/>
      <c r="CM904" s="40"/>
      <c r="CN904" s="229"/>
      <c r="CO904" s="229"/>
      <c r="CP904" s="229"/>
      <c r="CQ904" s="229"/>
      <c r="CR904" s="229"/>
      <c r="CS904" s="229"/>
      <c r="CT904" s="229"/>
      <c r="CU904" s="229"/>
      <c r="CV904" s="229"/>
      <c r="CW904" s="229"/>
    </row>
    <row r="905" ht="15.75" hidden="1" customHeight="1">
      <c r="CD905" s="145"/>
      <c r="CE905" s="128"/>
      <c r="CF905" s="126"/>
      <c r="CG905" s="128"/>
      <c r="CH905" s="126"/>
      <c r="CI905" s="129"/>
      <c r="CJ905" s="130"/>
      <c r="CK905" s="131"/>
      <c r="CL905" s="55"/>
      <c r="CM905" s="40"/>
      <c r="CN905" s="229"/>
      <c r="CO905" s="229"/>
      <c r="CP905" s="229"/>
      <c r="CQ905" s="229"/>
      <c r="CR905" s="229"/>
      <c r="CS905" s="229"/>
      <c r="CT905" s="229"/>
      <c r="CU905" s="229"/>
      <c r="CV905" s="229"/>
      <c r="CW905" s="229"/>
    </row>
    <row r="906" ht="15.75" hidden="1" customHeight="1">
      <c r="CD906" s="145"/>
      <c r="CE906" s="128"/>
      <c r="CF906" s="126"/>
      <c r="CG906" s="128"/>
      <c r="CH906" s="126"/>
      <c r="CI906" s="129"/>
      <c r="CJ906" s="130"/>
      <c r="CK906" s="131"/>
      <c r="CL906" s="55"/>
      <c r="CM906" s="40"/>
      <c r="CN906" s="229"/>
      <c r="CO906" s="229"/>
      <c r="CP906" s="229"/>
      <c r="CQ906" s="229"/>
      <c r="CR906" s="229"/>
      <c r="CS906" s="229"/>
      <c r="CT906" s="229"/>
      <c r="CU906" s="229"/>
      <c r="CV906" s="229"/>
      <c r="CW906" s="229"/>
    </row>
    <row r="907" ht="15.75" hidden="1" customHeight="1">
      <c r="CD907" s="53"/>
      <c r="CE907" s="147"/>
      <c r="CF907" s="118"/>
      <c r="CG907" s="118"/>
      <c r="CH907" s="117"/>
      <c r="CI907" s="148"/>
      <c r="CJ907" s="118"/>
      <c r="CK907" s="117"/>
      <c r="CL907" s="55"/>
      <c r="CM907" s="40"/>
      <c r="CN907" s="229"/>
      <c r="CO907" s="229"/>
      <c r="CP907" s="229"/>
      <c r="CQ907" s="229"/>
      <c r="CR907" s="229"/>
      <c r="CS907" s="229"/>
      <c r="CT907" s="229"/>
      <c r="CU907" s="229"/>
      <c r="CV907" s="229"/>
      <c r="CW907" s="229"/>
    </row>
    <row r="908" ht="15.75" hidden="1" customHeight="1">
      <c r="CD908" s="53"/>
      <c r="CE908" s="54"/>
      <c r="CF908" s="55"/>
      <c r="CG908" s="55"/>
      <c r="CH908" s="54"/>
      <c r="CI908" s="54"/>
      <c r="CJ908" s="54"/>
      <c r="CK908" s="16"/>
      <c r="CL908" s="55"/>
      <c r="CM908" s="153"/>
      <c r="CN908" s="229"/>
      <c r="CO908" s="229"/>
      <c r="CP908" s="229"/>
      <c r="CQ908" s="229"/>
      <c r="CR908" s="229"/>
      <c r="CS908" s="229"/>
      <c r="CT908" s="229"/>
      <c r="CU908" s="229"/>
      <c r="CV908" s="229"/>
      <c r="CW908" s="229"/>
    </row>
    <row r="909" ht="15.75" hidden="1" customHeight="1">
      <c r="CD909" s="53"/>
      <c r="CE909" s="54"/>
      <c r="CF909" s="55"/>
      <c r="CG909" s="55"/>
      <c r="CH909" s="54"/>
      <c r="CI909" s="54"/>
      <c r="CJ909" s="54"/>
      <c r="CK909" s="16"/>
      <c r="CL909" s="55"/>
      <c r="CM909" s="70"/>
      <c r="CN909" s="229"/>
      <c r="CO909" s="229"/>
      <c r="CP909" s="229"/>
      <c r="CQ909" s="229"/>
      <c r="CR909" s="229"/>
      <c r="CS909" s="229"/>
      <c r="CT909" s="229"/>
      <c r="CU909" s="229"/>
      <c r="CV909" s="229"/>
      <c r="CW909" s="229"/>
    </row>
    <row r="910" ht="15.75" hidden="1" customHeight="1">
      <c r="CD910" s="53"/>
      <c r="CE910" s="161"/>
      <c r="CF910" s="162"/>
      <c r="CG910" s="158"/>
      <c r="CH910" s="163"/>
      <c r="CI910" s="162"/>
      <c r="CJ910" s="158"/>
      <c r="CK910" s="54"/>
      <c r="CL910" s="164"/>
      <c r="CM910" s="153"/>
      <c r="CN910" s="229"/>
      <c r="CO910" s="229"/>
      <c r="CP910" s="229"/>
      <c r="CQ910" s="229"/>
      <c r="CR910" s="229"/>
      <c r="CS910" s="229"/>
      <c r="CT910" s="229"/>
      <c r="CU910" s="229"/>
      <c r="CV910" s="229"/>
      <c r="CW910" s="229"/>
    </row>
    <row r="911" ht="15.75" hidden="1" customHeight="1">
      <c r="CD911" s="53"/>
      <c r="CE911" s="169"/>
      <c r="CF911" s="77"/>
      <c r="CG911" s="77"/>
      <c r="CH911" s="170"/>
      <c r="CI911" s="171"/>
      <c r="CJ911" s="171"/>
      <c r="CK911" s="172"/>
      <c r="CL911" s="40"/>
      <c r="CM911" s="40"/>
      <c r="CN911" s="229"/>
      <c r="CO911" s="229"/>
      <c r="CP911" s="229"/>
      <c r="CQ911" s="229"/>
      <c r="CR911" s="229"/>
      <c r="CS911" s="229"/>
      <c r="CT911" s="229"/>
      <c r="CU911" s="229"/>
      <c r="CV911" s="229"/>
      <c r="CW911" s="229"/>
    </row>
    <row r="912" ht="15.75" hidden="1" customHeight="1">
      <c r="CD912" s="53"/>
      <c r="CE912" s="169"/>
      <c r="CF912" s="77"/>
      <c r="CG912" s="77"/>
      <c r="CH912" s="170"/>
      <c r="CI912" s="175"/>
      <c r="CJ912" s="175"/>
      <c r="CK912" s="172"/>
      <c r="CL912" s="40"/>
      <c r="CM912" s="40"/>
      <c r="CN912" s="229"/>
      <c r="CO912" s="229"/>
      <c r="CP912" s="229"/>
      <c r="CQ912" s="229"/>
      <c r="CR912" s="229"/>
      <c r="CS912" s="229"/>
      <c r="CT912" s="229"/>
      <c r="CU912" s="229"/>
      <c r="CV912" s="229"/>
      <c r="CW912" s="229"/>
    </row>
    <row r="913" ht="15.75" hidden="1" customHeight="1">
      <c r="CD913" s="53"/>
      <c r="CE913" s="169"/>
      <c r="CF913" s="77"/>
      <c r="CG913" s="77"/>
      <c r="CH913" s="170"/>
      <c r="CI913" s="175"/>
      <c r="CJ913" s="175"/>
      <c r="CK913" s="172"/>
      <c r="CL913" s="40"/>
      <c r="CM913" s="40"/>
      <c r="CN913" s="229"/>
      <c r="CO913" s="229"/>
      <c r="CP913" s="229"/>
      <c r="CQ913" s="229"/>
      <c r="CR913" s="229"/>
      <c r="CS913" s="229"/>
      <c r="CT913" s="229"/>
      <c r="CU913" s="229"/>
      <c r="CV913" s="229"/>
      <c r="CW913" s="229"/>
    </row>
    <row r="914" ht="15.75" hidden="1" customHeight="1">
      <c r="CD914" s="53"/>
      <c r="CE914" s="169"/>
      <c r="CF914" s="77"/>
      <c r="CG914" s="77"/>
      <c r="CH914" s="170"/>
      <c r="CI914" s="175"/>
      <c r="CJ914" s="175"/>
      <c r="CK914" s="172"/>
      <c r="CL914" s="40"/>
      <c r="CM914" s="40"/>
      <c r="CN914" s="229"/>
      <c r="CO914" s="229"/>
      <c r="CP914" s="229"/>
      <c r="CQ914" s="229"/>
      <c r="CR914" s="229"/>
      <c r="CS914" s="229"/>
      <c r="CT914" s="229"/>
      <c r="CU914" s="229"/>
      <c r="CV914" s="229"/>
      <c r="CW914" s="229"/>
    </row>
    <row r="915" ht="15.75" hidden="1" customHeight="1">
      <c r="CD915" s="53"/>
      <c r="CE915" s="169"/>
      <c r="CF915" s="77"/>
      <c r="CG915" s="77"/>
      <c r="CH915" s="170"/>
      <c r="CI915" s="175"/>
      <c r="CJ915" s="175"/>
      <c r="CK915" s="172"/>
      <c r="CL915" s="40"/>
      <c r="CM915" s="40"/>
      <c r="CN915" s="229"/>
      <c r="CO915" s="229"/>
      <c r="CP915" s="229"/>
      <c r="CQ915" s="229"/>
      <c r="CR915" s="229"/>
      <c r="CS915" s="229"/>
      <c r="CT915" s="229"/>
      <c r="CU915" s="229"/>
      <c r="CV915" s="229"/>
      <c r="CW915" s="229"/>
    </row>
    <row r="916" ht="15.75" hidden="1" customHeight="1">
      <c r="CD916" s="53"/>
      <c r="CE916" s="169"/>
      <c r="CF916" s="77"/>
      <c r="CG916" s="77"/>
      <c r="CH916" s="170"/>
      <c r="CI916" s="175"/>
      <c r="CJ916" s="175"/>
      <c r="CK916" s="172"/>
      <c r="CL916" s="40"/>
      <c r="CM916" s="40"/>
      <c r="CN916" s="229"/>
      <c r="CO916" s="229"/>
      <c r="CP916" s="229"/>
      <c r="CQ916" s="229"/>
      <c r="CR916" s="229"/>
      <c r="CS916" s="229"/>
      <c r="CT916" s="229"/>
      <c r="CU916" s="229"/>
      <c r="CV916" s="229"/>
      <c r="CW916" s="229"/>
    </row>
    <row r="917" ht="15.75" hidden="1" customHeight="1">
      <c r="CD917" s="53"/>
      <c r="CE917" s="169"/>
      <c r="CF917" s="77"/>
      <c r="CG917" s="77"/>
      <c r="CH917" s="170"/>
      <c r="CI917" s="175"/>
      <c r="CJ917" s="175"/>
      <c r="CK917" s="172"/>
      <c r="CL917" s="40"/>
      <c r="CM917" s="40"/>
      <c r="CN917" s="229"/>
      <c r="CO917" s="229"/>
      <c r="CP917" s="229"/>
      <c r="CQ917" s="229"/>
      <c r="CR917" s="229"/>
      <c r="CS917" s="229"/>
      <c r="CT917" s="229"/>
      <c r="CU917" s="229"/>
      <c r="CV917" s="229"/>
      <c r="CW917" s="229"/>
    </row>
    <row r="918" ht="15.75" hidden="1" customHeight="1">
      <c r="CD918" s="53"/>
      <c r="CE918" s="169"/>
      <c r="CF918" s="77"/>
      <c r="CG918" s="77"/>
      <c r="CH918" s="170"/>
      <c r="CI918" s="175"/>
      <c r="CJ918" s="175"/>
      <c r="CK918" s="172"/>
      <c r="CL918" s="40"/>
      <c r="CM918" s="40"/>
      <c r="CN918" s="229"/>
      <c r="CO918" s="229"/>
      <c r="CP918" s="229"/>
      <c r="CQ918" s="229"/>
      <c r="CR918" s="229"/>
      <c r="CS918" s="229"/>
      <c r="CT918" s="229"/>
      <c r="CU918" s="229"/>
      <c r="CV918" s="229"/>
      <c r="CW918" s="229"/>
    </row>
    <row r="919" ht="15.75" hidden="1" customHeight="1">
      <c r="CD919" s="53"/>
      <c r="CE919" s="169"/>
      <c r="CF919" s="77"/>
      <c r="CG919" s="77"/>
      <c r="CH919" s="170"/>
      <c r="CI919" s="175"/>
      <c r="CJ919" s="175"/>
      <c r="CK919" s="172"/>
      <c r="CL919" s="40"/>
      <c r="CM919" s="40"/>
      <c r="CN919" s="229"/>
      <c r="CO919" s="229"/>
      <c r="CP919" s="229"/>
      <c r="CQ919" s="229"/>
      <c r="CR919" s="229"/>
      <c r="CS919" s="229"/>
      <c r="CT919" s="229"/>
      <c r="CU919" s="229"/>
      <c r="CV919" s="229"/>
      <c r="CW919" s="229"/>
    </row>
    <row r="920" ht="15.75" hidden="1" customHeight="1">
      <c r="CD920" s="53"/>
      <c r="CE920" s="169"/>
      <c r="CF920" s="77"/>
      <c r="CG920" s="77"/>
      <c r="CH920" s="170"/>
      <c r="CI920" s="175"/>
      <c r="CJ920" s="175"/>
      <c r="CK920" s="172"/>
      <c r="CL920" s="40"/>
      <c r="CM920" s="40"/>
      <c r="CN920" s="229"/>
      <c r="CO920" s="229"/>
      <c r="CP920" s="229"/>
      <c r="CQ920" s="229"/>
      <c r="CR920" s="229"/>
      <c r="CS920" s="229"/>
      <c r="CT920" s="229"/>
      <c r="CU920" s="229"/>
      <c r="CV920" s="229"/>
      <c r="CW920" s="229"/>
    </row>
    <row r="921" ht="15.75" hidden="1" customHeight="1">
      <c r="CD921" s="53"/>
      <c r="CE921" s="169"/>
      <c r="CF921" s="77"/>
      <c r="CG921" s="77"/>
      <c r="CH921" s="170"/>
      <c r="CI921" s="175"/>
      <c r="CJ921" s="175"/>
      <c r="CK921" s="172"/>
      <c r="CL921" s="40"/>
      <c r="CM921" s="40"/>
      <c r="CN921" s="229"/>
      <c r="CO921" s="229"/>
      <c r="CP921" s="229"/>
      <c r="CQ921" s="229"/>
      <c r="CR921" s="229"/>
      <c r="CS921" s="229"/>
      <c r="CT921" s="229"/>
      <c r="CU921" s="229"/>
      <c r="CV921" s="229"/>
      <c r="CW921" s="229"/>
    </row>
    <row r="922" ht="15.75" hidden="1" customHeight="1">
      <c r="CD922" s="53"/>
      <c r="CE922" s="169"/>
      <c r="CF922" s="77"/>
      <c r="CG922" s="77"/>
      <c r="CH922" s="170"/>
      <c r="CI922" s="175"/>
      <c r="CJ922" s="175"/>
      <c r="CK922" s="172"/>
      <c r="CL922" s="40"/>
      <c r="CM922" s="40"/>
      <c r="CN922" s="229"/>
      <c r="CO922" s="229"/>
      <c r="CP922" s="229"/>
      <c r="CQ922" s="229"/>
      <c r="CR922" s="229"/>
      <c r="CS922" s="229"/>
      <c r="CT922" s="229"/>
      <c r="CU922" s="229"/>
      <c r="CV922" s="229"/>
      <c r="CW922" s="229"/>
    </row>
    <row r="923" ht="15.75" hidden="1" customHeight="1">
      <c r="CD923" s="53"/>
      <c r="CE923" s="169"/>
      <c r="CF923" s="77"/>
      <c r="CG923" s="77"/>
      <c r="CH923" s="170"/>
      <c r="CI923" s="175"/>
      <c r="CJ923" s="175"/>
      <c r="CK923" s="172"/>
      <c r="CL923" s="40"/>
      <c r="CM923" s="40"/>
      <c r="CN923" s="229"/>
      <c r="CO923" s="229"/>
      <c r="CP923" s="229"/>
      <c r="CQ923" s="229"/>
      <c r="CR923" s="229"/>
      <c r="CS923" s="229"/>
      <c r="CT923" s="229"/>
      <c r="CU923" s="229"/>
      <c r="CV923" s="229"/>
      <c r="CW923" s="229"/>
    </row>
    <row r="924" ht="15.75" hidden="1" customHeight="1">
      <c r="CD924" s="53"/>
      <c r="CE924" s="169"/>
      <c r="CF924" s="77"/>
      <c r="CG924" s="77"/>
      <c r="CH924" s="170"/>
      <c r="CI924" s="175"/>
      <c r="CJ924" s="175"/>
      <c r="CK924" s="172"/>
      <c r="CL924" s="40"/>
      <c r="CM924" s="40"/>
      <c r="CN924" s="229"/>
      <c r="CO924" s="229"/>
      <c r="CP924" s="229"/>
      <c r="CQ924" s="229"/>
      <c r="CR924" s="229"/>
      <c r="CS924" s="229"/>
      <c r="CT924" s="229"/>
      <c r="CU924" s="229"/>
      <c r="CV924" s="229"/>
      <c r="CW924" s="229"/>
    </row>
    <row r="925" ht="15.75" hidden="1" customHeight="1">
      <c r="CD925" s="53"/>
      <c r="CE925" s="169"/>
      <c r="CF925" s="77"/>
      <c r="CG925" s="77"/>
      <c r="CH925" s="170"/>
      <c r="CI925" s="175"/>
      <c r="CJ925" s="175"/>
      <c r="CK925" s="172"/>
      <c r="CL925" s="40"/>
      <c r="CM925" s="40"/>
      <c r="CN925" s="229"/>
      <c r="CO925" s="229"/>
      <c r="CP925" s="229"/>
      <c r="CQ925" s="229"/>
      <c r="CR925" s="229"/>
      <c r="CS925" s="229"/>
      <c r="CT925" s="229"/>
      <c r="CU925" s="229"/>
      <c r="CV925" s="229"/>
      <c r="CW925" s="229"/>
    </row>
    <row r="926" ht="15.75" hidden="1" customHeight="1">
      <c r="CD926" s="53"/>
      <c r="CE926" s="169"/>
      <c r="CF926" s="77"/>
      <c r="CG926" s="77"/>
      <c r="CH926" s="170"/>
      <c r="CI926" s="175"/>
      <c r="CJ926" s="175"/>
      <c r="CK926" s="172"/>
      <c r="CL926" s="40"/>
      <c r="CM926" s="40"/>
      <c r="CN926" s="229"/>
      <c r="CO926" s="229"/>
      <c r="CP926" s="229"/>
      <c r="CQ926" s="229"/>
      <c r="CR926" s="229"/>
      <c r="CS926" s="229"/>
      <c r="CT926" s="229"/>
      <c r="CU926" s="229"/>
      <c r="CV926" s="229"/>
      <c r="CW926" s="229"/>
    </row>
    <row r="927" ht="15.75" hidden="1" customHeight="1">
      <c r="CD927" s="53"/>
      <c r="CE927" s="180"/>
      <c r="CF927" s="77"/>
      <c r="CG927" s="77"/>
      <c r="CH927" s="181"/>
      <c r="CI927" s="182"/>
      <c r="CJ927" s="182"/>
      <c r="CK927" s="172"/>
      <c r="CL927" s="40"/>
      <c r="CM927" s="40"/>
      <c r="CN927" s="229"/>
      <c r="CO927" s="229"/>
      <c r="CP927" s="229"/>
      <c r="CQ927" s="229"/>
      <c r="CR927" s="229"/>
      <c r="CS927" s="229"/>
      <c r="CT927" s="229"/>
      <c r="CU927" s="229"/>
      <c r="CV927" s="229"/>
      <c r="CW927" s="229"/>
    </row>
    <row r="928" ht="15.75" hidden="1" customHeight="1">
      <c r="CD928" s="53"/>
      <c r="CE928" s="190"/>
      <c r="CF928" s="77"/>
      <c r="CG928" s="77"/>
      <c r="CH928" s="188"/>
      <c r="CI928" s="175"/>
      <c r="CJ928" s="175"/>
      <c r="CK928" s="189"/>
      <c r="CL928" s="40"/>
      <c r="CM928" s="40"/>
      <c r="CN928" s="229"/>
      <c r="CO928" s="229"/>
      <c r="CP928" s="229"/>
      <c r="CQ928" s="229"/>
      <c r="CR928" s="229"/>
      <c r="CS928" s="229"/>
      <c r="CT928" s="229"/>
      <c r="CU928" s="229"/>
      <c r="CV928" s="229"/>
      <c r="CW928" s="229"/>
    </row>
    <row r="929" ht="15.75" hidden="1" customHeight="1">
      <c r="CD929" s="53"/>
      <c r="CE929" s="190"/>
      <c r="CF929" s="77"/>
      <c r="CG929" s="77"/>
      <c r="CH929" s="188"/>
      <c r="CI929" s="175"/>
      <c r="CJ929" s="175"/>
      <c r="CK929" s="192"/>
      <c r="CL929" s="40"/>
      <c r="CM929" s="40"/>
      <c r="CN929" s="229"/>
      <c r="CO929" s="229"/>
      <c r="CP929" s="229"/>
      <c r="CQ929" s="229"/>
      <c r="CR929" s="229"/>
      <c r="CS929" s="229"/>
      <c r="CT929" s="229"/>
      <c r="CU929" s="229"/>
      <c r="CV929" s="229"/>
      <c r="CW929" s="229"/>
    </row>
    <row r="930" ht="15.75" hidden="1" customHeight="1">
      <c r="CD930" s="53"/>
      <c r="CE930" s="190"/>
      <c r="CF930" s="77"/>
      <c r="CG930" s="77"/>
      <c r="CH930" s="188"/>
      <c r="CI930" s="175"/>
      <c r="CJ930" s="175"/>
      <c r="CK930" s="192"/>
      <c r="CL930" s="40"/>
      <c r="CM930" s="40"/>
      <c r="CN930" s="229"/>
      <c r="CO930" s="229"/>
      <c r="CP930" s="229"/>
      <c r="CQ930" s="229"/>
      <c r="CR930" s="229"/>
      <c r="CS930" s="229"/>
      <c r="CT930" s="229"/>
      <c r="CU930" s="229"/>
      <c r="CV930" s="229"/>
      <c r="CW930" s="229"/>
    </row>
    <row r="931" ht="15.75" hidden="1" customHeight="1">
      <c r="CD931" s="53"/>
      <c r="CE931" s="187"/>
      <c r="CF931" s="77"/>
      <c r="CG931" s="77"/>
      <c r="CH931" s="188"/>
      <c r="CI931" s="175"/>
      <c r="CJ931" s="175"/>
      <c r="CK931" s="192"/>
      <c r="CL931" s="40"/>
      <c r="CM931" s="40"/>
      <c r="CN931" s="229"/>
      <c r="CO931" s="229"/>
      <c r="CP931" s="229"/>
      <c r="CQ931" s="229"/>
      <c r="CR931" s="229"/>
      <c r="CS931" s="229"/>
      <c r="CT931" s="229"/>
      <c r="CU931" s="229"/>
      <c r="CV931" s="229"/>
      <c r="CW931" s="229"/>
    </row>
    <row r="932" ht="15.75" hidden="1" customHeight="1">
      <c r="CD932" s="53"/>
      <c r="CE932" s="190"/>
      <c r="CF932" s="77"/>
      <c r="CG932" s="77"/>
      <c r="CH932" s="188"/>
      <c r="CI932" s="175"/>
      <c r="CJ932" s="175"/>
      <c r="CK932" s="192"/>
      <c r="CL932" s="40"/>
      <c r="CM932" s="40"/>
      <c r="CN932" s="229"/>
      <c r="CO932" s="229"/>
      <c r="CP932" s="229"/>
      <c r="CQ932" s="229"/>
      <c r="CR932" s="229"/>
      <c r="CS932" s="229"/>
      <c r="CT932" s="229"/>
      <c r="CU932" s="229"/>
      <c r="CV932" s="229"/>
      <c r="CW932" s="229"/>
    </row>
    <row r="933" ht="15.75" hidden="1" customHeight="1">
      <c r="CD933" s="53"/>
      <c r="CE933" s="190"/>
      <c r="CF933" s="77"/>
      <c r="CG933" s="77"/>
      <c r="CH933" s="188"/>
      <c r="CI933" s="175"/>
      <c r="CJ933" s="175"/>
      <c r="CK933" s="192"/>
      <c r="CL933" s="40"/>
      <c r="CM933" s="40"/>
      <c r="CN933" s="229"/>
      <c r="CO933" s="229"/>
      <c r="CP933" s="229"/>
      <c r="CQ933" s="229"/>
      <c r="CR933" s="229"/>
      <c r="CS933" s="229"/>
      <c r="CT933" s="229"/>
      <c r="CU933" s="229"/>
      <c r="CV933" s="229"/>
      <c r="CW933" s="229"/>
    </row>
    <row r="934" ht="15.75" hidden="1" customHeight="1">
      <c r="CD934" s="53"/>
      <c r="CE934" s="198"/>
      <c r="CF934" s="77"/>
      <c r="CG934" s="77"/>
      <c r="CH934" s="196"/>
      <c r="CI934" s="197"/>
      <c r="CJ934" s="197"/>
      <c r="CK934" s="192"/>
      <c r="CL934" s="40"/>
      <c r="CM934" s="40"/>
      <c r="CN934" s="229"/>
      <c r="CO934" s="229"/>
      <c r="CP934" s="229"/>
      <c r="CQ934" s="229"/>
      <c r="CR934" s="229"/>
      <c r="CS934" s="229"/>
      <c r="CT934" s="229"/>
      <c r="CU934" s="229"/>
      <c r="CV934" s="229"/>
      <c r="CW934" s="229"/>
    </row>
    <row r="935" ht="15.75" hidden="1" customHeight="1">
      <c r="CD935" s="53"/>
      <c r="CE935" s="180"/>
      <c r="CF935" s="201"/>
      <c r="CG935" s="201"/>
      <c r="CH935" s="181"/>
      <c r="CI935" s="182"/>
      <c r="CJ935" s="182"/>
      <c r="CK935" s="192"/>
      <c r="CL935" s="40"/>
      <c r="CM935" s="40"/>
      <c r="CN935" s="229"/>
      <c r="CO935" s="229"/>
      <c r="CP935" s="229"/>
      <c r="CQ935" s="229"/>
      <c r="CR935" s="229"/>
      <c r="CS935" s="229"/>
      <c r="CT935" s="229"/>
      <c r="CU935" s="229"/>
      <c r="CV935" s="229"/>
      <c r="CW935" s="229"/>
    </row>
    <row r="936" ht="15.75" hidden="1" customHeight="1">
      <c r="CD936" s="53"/>
      <c r="CE936" s="187"/>
      <c r="CF936" s="77"/>
      <c r="CG936" s="77"/>
      <c r="CH936" s="188"/>
      <c r="CI936" s="175"/>
      <c r="CJ936" s="175"/>
      <c r="CK936" s="192"/>
      <c r="CL936" s="40"/>
      <c r="CM936" s="40"/>
      <c r="CN936" s="229"/>
      <c r="CO936" s="229"/>
      <c r="CP936" s="229"/>
      <c r="CQ936" s="229"/>
      <c r="CR936" s="229"/>
      <c r="CS936" s="229"/>
      <c r="CT936" s="229"/>
      <c r="CU936" s="229"/>
      <c r="CV936" s="229"/>
      <c r="CW936" s="229"/>
    </row>
    <row r="937" ht="15.75" hidden="1" customHeight="1">
      <c r="CD937" s="53"/>
      <c r="CE937" s="187"/>
      <c r="CF937" s="77"/>
      <c r="CG937" s="77"/>
      <c r="CH937" s="188"/>
      <c r="CI937" s="175"/>
      <c r="CJ937" s="175"/>
      <c r="CK937" s="192"/>
      <c r="CL937" s="40"/>
      <c r="CM937" s="40"/>
      <c r="CN937" s="229"/>
      <c r="CO937" s="229"/>
      <c r="CP937" s="229"/>
      <c r="CQ937" s="229"/>
      <c r="CR937" s="229"/>
      <c r="CS937" s="229"/>
      <c r="CT937" s="229"/>
      <c r="CU937" s="229"/>
      <c r="CV937" s="229"/>
      <c r="CW937" s="229"/>
    </row>
    <row r="938" ht="15.75" hidden="1" customHeight="1">
      <c r="CD938" s="53"/>
      <c r="CE938" s="195"/>
      <c r="CF938" s="77"/>
      <c r="CG938" s="77"/>
      <c r="CH938" s="196"/>
      <c r="CI938" s="197"/>
      <c r="CJ938" s="197"/>
      <c r="CK938" s="192"/>
      <c r="CL938" s="40"/>
      <c r="CM938" s="40"/>
      <c r="CN938" s="229"/>
      <c r="CO938" s="229"/>
      <c r="CP938" s="229"/>
      <c r="CQ938" s="229"/>
      <c r="CR938" s="229"/>
      <c r="CS938" s="229"/>
      <c r="CT938" s="229"/>
      <c r="CU938" s="229"/>
      <c r="CV938" s="229"/>
      <c r="CW938" s="229"/>
    </row>
    <row r="939" ht="15.75" hidden="1" customHeight="1">
      <c r="CD939" s="53"/>
      <c r="CE939" s="180"/>
      <c r="CF939" s="201"/>
      <c r="CG939" s="201"/>
      <c r="CH939" s="181"/>
      <c r="CI939" s="182"/>
      <c r="CJ939" s="182"/>
      <c r="CK939" s="192"/>
      <c r="CL939" s="40"/>
      <c r="CM939" s="40"/>
      <c r="CN939" s="229"/>
      <c r="CO939" s="229"/>
      <c r="CP939" s="229"/>
      <c r="CQ939" s="229"/>
      <c r="CR939" s="229"/>
      <c r="CS939" s="229"/>
      <c r="CT939" s="229"/>
      <c r="CU939" s="229"/>
      <c r="CV939" s="229"/>
      <c r="CW939" s="229"/>
    </row>
    <row r="940" ht="15.75" hidden="1" customHeight="1">
      <c r="CD940" s="53"/>
      <c r="CE940" s="195"/>
      <c r="CF940" s="77"/>
      <c r="CG940" s="77"/>
      <c r="CH940" s="196"/>
      <c r="CI940" s="197"/>
      <c r="CJ940" s="197"/>
      <c r="CK940" s="192"/>
      <c r="CL940" s="40"/>
      <c r="CM940" s="40"/>
      <c r="CN940" s="229"/>
      <c r="CO940" s="229"/>
      <c r="CP940" s="229"/>
      <c r="CQ940" s="229"/>
      <c r="CR940" s="229"/>
      <c r="CS940" s="229"/>
      <c r="CT940" s="229"/>
      <c r="CU940" s="229"/>
      <c r="CV940" s="229"/>
      <c r="CW940" s="229"/>
    </row>
    <row r="941" ht="15.75" hidden="1" customHeight="1">
      <c r="CD941" s="53"/>
      <c r="CE941" s="207"/>
      <c r="CF941" s="77"/>
      <c r="CG941" s="77"/>
      <c r="CH941" s="208"/>
      <c r="CI941" s="209"/>
      <c r="CJ941" s="209"/>
      <c r="CK941" s="192"/>
      <c r="CL941" s="40"/>
      <c r="CM941" s="40"/>
      <c r="CN941" s="229"/>
      <c r="CO941" s="229"/>
      <c r="CP941" s="229"/>
      <c r="CQ941" s="229"/>
      <c r="CR941" s="229"/>
      <c r="CS941" s="229"/>
      <c r="CT941" s="229"/>
      <c r="CU941" s="229"/>
      <c r="CV941" s="229"/>
      <c r="CW941" s="229"/>
    </row>
    <row r="942" ht="15.75" hidden="1" customHeight="1">
      <c r="CD942" s="64"/>
      <c r="CE942" s="54"/>
      <c r="CF942" s="55"/>
      <c r="CG942" s="55"/>
      <c r="CH942" s="54"/>
      <c r="CI942" s="54"/>
      <c r="CJ942" s="54"/>
      <c r="CK942" s="16"/>
      <c r="CL942" s="55"/>
      <c r="CM942" s="70"/>
      <c r="CN942" s="229"/>
      <c r="CO942" s="229"/>
      <c r="CP942" s="229"/>
      <c r="CQ942" s="229"/>
      <c r="CR942" s="229"/>
      <c r="CS942" s="229"/>
      <c r="CT942" s="229"/>
      <c r="CU942" s="229"/>
      <c r="CV942" s="229"/>
      <c r="CW942" s="229"/>
    </row>
    <row r="943" ht="15.75" hidden="1" customHeight="1">
      <c r="CD943" s="54"/>
      <c r="CE943" s="54"/>
      <c r="CF943" s="55"/>
      <c r="CG943" s="55"/>
      <c r="CH943" s="54"/>
      <c r="CI943" s="54"/>
      <c r="CJ943" s="54"/>
      <c r="CK943" s="16"/>
      <c r="CL943" s="55"/>
      <c r="CM943" s="70"/>
      <c r="CN943" s="229"/>
      <c r="CO943" s="229"/>
      <c r="CP943" s="229"/>
      <c r="CQ943" s="229"/>
      <c r="CR943" s="229"/>
      <c r="CS943" s="229"/>
      <c r="CT943" s="229"/>
      <c r="CU943" s="229"/>
      <c r="CV943" s="229"/>
      <c r="CW943" s="229"/>
    </row>
    <row r="944" ht="15.75" hidden="1" customHeight="1">
      <c r="CD944" s="216"/>
      <c r="CE944" s="217"/>
      <c r="CF944" s="218"/>
      <c r="CG944" s="118"/>
      <c r="CH944" s="118"/>
      <c r="CI944" s="118"/>
      <c r="CJ944" s="118"/>
      <c r="CK944" s="117"/>
      <c r="CL944" s="219"/>
      <c r="CM944" s="220"/>
      <c r="CN944" s="229"/>
      <c r="CO944" s="229"/>
      <c r="CP944" s="229"/>
      <c r="CQ944" s="229"/>
      <c r="CR944" s="229"/>
      <c r="CS944" s="229"/>
      <c r="CT944" s="229"/>
      <c r="CU944" s="229"/>
      <c r="CV944" s="229"/>
      <c r="CW944" s="229"/>
    </row>
    <row r="945" ht="15.75" hidden="1" customHeight="1">
      <c r="CD945" s="16"/>
      <c r="CE945" s="217"/>
      <c r="CF945" s="218"/>
      <c r="CG945" s="118"/>
      <c r="CH945" s="118"/>
      <c r="CI945" s="118"/>
      <c r="CJ945" s="118"/>
      <c r="CK945" s="117"/>
      <c r="CL945" s="227"/>
      <c r="CM945" s="228"/>
      <c r="CN945" s="229"/>
      <c r="CO945" s="229"/>
      <c r="CP945" s="229"/>
      <c r="CQ945" s="229"/>
      <c r="CR945" s="229"/>
      <c r="CS945" s="229"/>
      <c r="CT945" s="229"/>
      <c r="CU945" s="229"/>
      <c r="CV945" s="229"/>
      <c r="CW945" s="229"/>
    </row>
    <row r="946" ht="15.75" hidden="1" customHeight="1">
      <c r="CD946" s="229"/>
      <c r="CE946" s="229"/>
      <c r="CF946" s="229"/>
      <c r="CG946" s="229"/>
      <c r="CH946" s="229"/>
      <c r="CI946" s="229"/>
      <c r="CJ946" s="229"/>
      <c r="CK946" s="229"/>
      <c r="CL946" s="229"/>
      <c r="CM946" s="229"/>
      <c r="CN946" s="229"/>
      <c r="CO946" s="229"/>
      <c r="CP946" s="229"/>
      <c r="CQ946" s="229"/>
      <c r="CR946" s="229"/>
      <c r="CS946" s="229"/>
      <c r="CT946" s="229"/>
      <c r="CU946" s="229"/>
      <c r="CV946" s="229"/>
      <c r="CW946" s="229"/>
    </row>
    <row r="947" ht="15.75" hidden="1" customHeight="1">
      <c r="CD947" s="229"/>
      <c r="CE947" s="229"/>
      <c r="CF947" s="229"/>
      <c r="CG947" s="229"/>
      <c r="CH947" s="229"/>
      <c r="CI947" s="229"/>
      <c r="CJ947" s="229"/>
      <c r="CK947" s="229"/>
      <c r="CL947" s="229"/>
      <c r="CM947" s="229"/>
      <c r="CN947" s="229"/>
      <c r="CO947" s="229"/>
      <c r="CP947" s="229"/>
      <c r="CQ947" s="229"/>
      <c r="CR947" s="229"/>
      <c r="CS947" s="229"/>
      <c r="CT947" s="229"/>
      <c r="CU947" s="229"/>
      <c r="CV947" s="229"/>
      <c r="CW947" s="229"/>
    </row>
    <row r="948" ht="15.75" hidden="1" customHeight="1">
      <c r="CD948" s="229"/>
      <c r="CE948" s="229"/>
      <c r="CF948" s="229"/>
      <c r="CG948" s="229"/>
      <c r="CH948" s="229"/>
      <c r="CI948" s="229"/>
      <c r="CJ948" s="229"/>
      <c r="CK948" s="229"/>
      <c r="CL948" s="229"/>
      <c r="CM948" s="229"/>
      <c r="CN948" s="229"/>
      <c r="CO948" s="229"/>
      <c r="CP948" s="229"/>
      <c r="CQ948" s="229"/>
      <c r="CR948" s="229"/>
      <c r="CS948" s="229"/>
      <c r="CT948" s="229"/>
      <c r="CU948" s="229"/>
      <c r="CV948" s="229"/>
      <c r="CW948" s="229"/>
    </row>
    <row r="949" ht="15.75" hidden="1" customHeight="1">
      <c r="CD949" s="229"/>
      <c r="CE949" s="229"/>
      <c r="CF949" s="229"/>
      <c r="CG949" s="229"/>
      <c r="CH949" s="229"/>
      <c r="CI949" s="229"/>
      <c r="CJ949" s="229"/>
      <c r="CK949" s="229"/>
      <c r="CL949" s="229"/>
      <c r="CM949" s="229"/>
      <c r="CN949" s="229"/>
      <c r="CO949" s="229"/>
      <c r="CP949" s="229"/>
      <c r="CQ949" s="229"/>
      <c r="CR949" s="229"/>
      <c r="CS949" s="229"/>
      <c r="CT949" s="229"/>
      <c r="CU949" s="229"/>
      <c r="CV949" s="229"/>
      <c r="CW949" s="229"/>
    </row>
    <row r="950" ht="15.75" hidden="1" customHeight="1">
      <c r="CD950" s="229"/>
      <c r="CE950" s="229"/>
      <c r="CF950" s="229"/>
      <c r="CG950" s="229"/>
      <c r="CH950" s="229"/>
      <c r="CI950" s="229"/>
      <c r="CJ950" s="229"/>
      <c r="CK950" s="229"/>
      <c r="CL950" s="229"/>
      <c r="CM950" s="229"/>
      <c r="CN950" s="229"/>
      <c r="CO950" s="229"/>
      <c r="CP950" s="229"/>
      <c r="CQ950" s="229"/>
      <c r="CR950" s="229"/>
      <c r="CS950" s="229"/>
      <c r="CT950" s="229"/>
      <c r="CU950" s="229"/>
      <c r="CV950" s="229"/>
      <c r="CW950" s="229"/>
    </row>
    <row r="951" ht="15.75" hidden="1" customHeight="1">
      <c r="CD951" s="229"/>
      <c r="CE951" s="229"/>
      <c r="CF951" s="229"/>
      <c r="CG951" s="229"/>
      <c r="CH951" s="229"/>
      <c r="CI951" s="229"/>
      <c r="CJ951" s="229"/>
      <c r="CK951" s="229"/>
      <c r="CL951" s="229"/>
      <c r="CM951" s="229"/>
      <c r="CN951" s="229"/>
      <c r="CO951" s="229"/>
      <c r="CP951" s="229"/>
      <c r="CQ951" s="229"/>
      <c r="CR951" s="229"/>
      <c r="CS951" s="229"/>
      <c r="CT951" s="229"/>
      <c r="CU951" s="229"/>
      <c r="CV951" s="229"/>
      <c r="CW951" s="229"/>
    </row>
    <row r="952" ht="15.75" hidden="1" customHeight="1">
      <c r="CD952" s="229"/>
      <c r="CE952" s="229"/>
      <c r="CF952" s="229"/>
      <c r="CG952" s="229"/>
      <c r="CH952" s="229"/>
      <c r="CI952" s="229"/>
      <c r="CJ952" s="229"/>
      <c r="CK952" s="229"/>
      <c r="CL952" s="229"/>
      <c r="CM952" s="229"/>
      <c r="CN952" s="229"/>
      <c r="CO952" s="229"/>
      <c r="CP952" s="229"/>
      <c r="CQ952" s="229"/>
      <c r="CR952" s="229"/>
      <c r="CS952" s="229"/>
      <c r="CT952" s="229"/>
      <c r="CU952" s="229"/>
      <c r="CV952" s="229"/>
      <c r="CW952" s="229"/>
    </row>
    <row r="953" ht="15.75" hidden="1" customHeight="1">
      <c r="CD953" s="229"/>
      <c r="CE953" s="229"/>
      <c r="CF953" s="229"/>
      <c r="CG953" s="229"/>
      <c r="CH953" s="229"/>
      <c r="CI953" s="229"/>
      <c r="CJ953" s="229"/>
      <c r="CK953" s="229"/>
      <c r="CL953" s="229"/>
      <c r="CM953" s="229"/>
      <c r="CN953" s="229"/>
      <c r="CO953" s="229"/>
      <c r="CP953" s="229"/>
      <c r="CQ953" s="229"/>
      <c r="CR953" s="229"/>
      <c r="CS953" s="229"/>
      <c r="CT953" s="229"/>
      <c r="CU953" s="229"/>
      <c r="CV953" s="229"/>
      <c r="CW953" s="229"/>
    </row>
    <row r="954" ht="15.75" hidden="1" customHeight="1">
      <c r="CD954" s="229"/>
      <c r="CE954" s="229"/>
      <c r="CF954" s="229"/>
      <c r="CG954" s="229"/>
      <c r="CH954" s="229"/>
      <c r="CI954" s="229"/>
      <c r="CJ954" s="229"/>
      <c r="CK954" s="229"/>
      <c r="CL954" s="229"/>
      <c r="CM954" s="229"/>
      <c r="CN954" s="229"/>
      <c r="CO954" s="229"/>
      <c r="CP954" s="229"/>
      <c r="CQ954" s="229"/>
      <c r="CR954" s="229"/>
      <c r="CS954" s="229"/>
      <c r="CT954" s="229"/>
      <c r="CU954" s="229"/>
      <c r="CV954" s="229"/>
      <c r="CW954" s="229"/>
    </row>
    <row r="955" ht="15.75" hidden="1" customHeight="1">
      <c r="CD955" s="229"/>
      <c r="CE955" s="229"/>
      <c r="CF955" s="229"/>
      <c r="CG955" s="229"/>
      <c r="CH955" s="229"/>
      <c r="CI955" s="229"/>
      <c r="CJ955" s="229"/>
      <c r="CK955" s="229"/>
      <c r="CL955" s="229"/>
      <c r="CM955" s="229"/>
      <c r="CN955" s="229"/>
      <c r="CO955" s="229"/>
      <c r="CP955" s="229"/>
      <c r="CQ955" s="229"/>
      <c r="CR955" s="229"/>
      <c r="CS955" s="229"/>
      <c r="CT955" s="229"/>
      <c r="CU955" s="229"/>
      <c r="CV955" s="229"/>
      <c r="CW955" s="229"/>
    </row>
    <row r="956" ht="15.75" hidden="1" customHeight="1">
      <c r="CD956" s="229"/>
      <c r="CE956" s="229"/>
      <c r="CF956" s="229"/>
      <c r="CG956" s="229"/>
      <c r="CH956" s="229"/>
      <c r="CI956" s="229"/>
      <c r="CJ956" s="229"/>
      <c r="CK956" s="229"/>
      <c r="CL956" s="229"/>
      <c r="CM956" s="229"/>
      <c r="CN956" s="229"/>
      <c r="CO956" s="229"/>
      <c r="CP956" s="229"/>
      <c r="CQ956" s="229"/>
      <c r="CR956" s="229"/>
      <c r="CS956" s="229"/>
      <c r="CT956" s="229"/>
      <c r="CU956" s="229"/>
      <c r="CV956" s="229"/>
      <c r="CW956" s="229"/>
    </row>
    <row r="957" ht="15.75" hidden="1" customHeight="1">
      <c r="CD957" s="229"/>
      <c r="CE957" s="229"/>
      <c r="CF957" s="229"/>
      <c r="CG957" s="229"/>
      <c r="CH957" s="229"/>
      <c r="CI957" s="229"/>
      <c r="CJ957" s="229"/>
      <c r="CK957" s="229"/>
      <c r="CL957" s="229"/>
      <c r="CM957" s="229"/>
      <c r="CN957" s="229"/>
      <c r="CO957" s="229"/>
      <c r="CP957" s="229"/>
      <c r="CQ957" s="229"/>
      <c r="CR957" s="229"/>
      <c r="CS957" s="229"/>
      <c r="CT957" s="229"/>
      <c r="CU957" s="229"/>
      <c r="CV957" s="229"/>
      <c r="CW957" s="229"/>
    </row>
    <row r="958" ht="15.75" hidden="1" customHeight="1">
      <c r="CD958" s="229"/>
      <c r="CE958" s="229"/>
      <c r="CF958" s="229"/>
      <c r="CG958" s="229"/>
      <c r="CH958" s="229"/>
      <c r="CI958" s="229"/>
      <c r="CJ958" s="229"/>
      <c r="CK958" s="229"/>
      <c r="CL958" s="229"/>
      <c r="CM958" s="229"/>
      <c r="CN958" s="229"/>
      <c r="CO958" s="229"/>
      <c r="CP958" s="229"/>
      <c r="CQ958" s="229"/>
      <c r="CR958" s="229"/>
      <c r="CS958" s="229"/>
      <c r="CT958" s="229"/>
      <c r="CU958" s="229"/>
      <c r="CV958" s="229"/>
      <c r="CW958" s="229"/>
    </row>
    <row r="959" ht="15.75" hidden="1" customHeight="1">
      <c r="CD959" s="229"/>
      <c r="CE959" s="229"/>
      <c r="CF959" s="229"/>
      <c r="CG959" s="229"/>
      <c r="CH959" s="229"/>
      <c r="CI959" s="229"/>
      <c r="CJ959" s="229"/>
      <c r="CK959" s="229"/>
      <c r="CL959" s="229"/>
      <c r="CM959" s="229"/>
      <c r="CN959" s="229"/>
      <c r="CO959" s="229"/>
      <c r="CP959" s="229"/>
      <c r="CQ959" s="229"/>
      <c r="CR959" s="229"/>
      <c r="CS959" s="229"/>
      <c r="CT959" s="229"/>
      <c r="CU959" s="229"/>
      <c r="CV959" s="229"/>
      <c r="CW959" s="229"/>
    </row>
    <row r="960" ht="15.75" hidden="1" customHeight="1">
      <c r="CD960" s="229"/>
      <c r="CE960" s="229"/>
      <c r="CF960" s="229"/>
      <c r="CG960" s="229"/>
      <c r="CH960" s="229"/>
      <c r="CI960" s="229"/>
      <c r="CJ960" s="229"/>
      <c r="CK960" s="229"/>
      <c r="CL960" s="229"/>
      <c r="CM960" s="229"/>
      <c r="CN960" s="229"/>
      <c r="CO960" s="229"/>
      <c r="CP960" s="229"/>
      <c r="CQ960" s="229"/>
      <c r="CR960" s="229"/>
      <c r="CS960" s="229"/>
      <c r="CT960" s="229"/>
      <c r="CU960" s="229"/>
      <c r="CV960" s="229"/>
      <c r="CW960" s="229"/>
    </row>
    <row r="961" ht="15.75" hidden="1" customHeight="1">
      <c r="CD961" s="229"/>
      <c r="CE961" s="229"/>
      <c r="CF961" s="229"/>
      <c r="CG961" s="229"/>
      <c r="CH961" s="229"/>
      <c r="CI961" s="229"/>
      <c r="CJ961" s="229"/>
      <c r="CK961" s="229"/>
      <c r="CL961" s="229"/>
      <c r="CM961" s="229"/>
      <c r="CN961" s="229"/>
      <c r="CO961" s="229"/>
      <c r="CP961" s="229"/>
      <c r="CQ961" s="229"/>
      <c r="CR961" s="229"/>
      <c r="CS961" s="229"/>
      <c r="CT961" s="229"/>
      <c r="CU961" s="229"/>
      <c r="CV961" s="229"/>
      <c r="CW961" s="229"/>
    </row>
    <row r="962" ht="15.75" hidden="1" customHeight="1">
      <c r="CD962" s="229"/>
      <c r="CE962" s="229"/>
      <c r="CF962" s="229"/>
      <c r="CG962" s="229"/>
      <c r="CH962" s="229"/>
      <c r="CI962" s="229"/>
      <c r="CJ962" s="229"/>
      <c r="CK962" s="229"/>
      <c r="CL962" s="229"/>
      <c r="CM962" s="229"/>
      <c r="CN962" s="229"/>
      <c r="CO962" s="229"/>
      <c r="CP962" s="229"/>
      <c r="CQ962" s="229"/>
      <c r="CR962" s="229"/>
      <c r="CS962" s="229"/>
      <c r="CT962" s="229"/>
      <c r="CU962" s="229"/>
      <c r="CV962" s="229"/>
      <c r="CW962" s="229"/>
    </row>
    <row r="963" ht="15.75" hidden="1" customHeight="1">
      <c r="CD963" s="229"/>
      <c r="CE963" s="229"/>
      <c r="CF963" s="229"/>
      <c r="CG963" s="229"/>
      <c r="CH963" s="229"/>
      <c r="CI963" s="229"/>
      <c r="CJ963" s="229"/>
      <c r="CK963" s="229"/>
      <c r="CL963" s="229"/>
      <c r="CM963" s="229"/>
      <c r="CN963" s="229"/>
      <c r="CO963" s="229"/>
      <c r="CP963" s="229"/>
      <c r="CQ963" s="229"/>
      <c r="CR963" s="229"/>
      <c r="CS963" s="229"/>
      <c r="CT963" s="229"/>
      <c r="CU963" s="229"/>
      <c r="CV963" s="229"/>
      <c r="CW963" s="229"/>
    </row>
    <row r="964" ht="15.75" hidden="1" customHeight="1">
      <c r="CD964" s="229"/>
      <c r="CE964" s="229"/>
      <c r="CF964" s="229"/>
      <c r="CG964" s="229"/>
      <c r="CH964" s="229"/>
      <c r="CI964" s="229"/>
      <c r="CJ964" s="229"/>
      <c r="CK964" s="229"/>
      <c r="CL964" s="229"/>
      <c r="CM964" s="229"/>
      <c r="CN964" s="229"/>
      <c r="CO964" s="229"/>
      <c r="CP964" s="229"/>
      <c r="CQ964" s="229"/>
      <c r="CR964" s="229"/>
      <c r="CS964" s="229"/>
      <c r="CT964" s="229"/>
      <c r="CU964" s="229"/>
      <c r="CV964" s="229"/>
      <c r="CW964" s="229"/>
    </row>
    <row r="965" ht="15.75" hidden="1" customHeight="1">
      <c r="CD965" s="229"/>
      <c r="CE965" s="229"/>
      <c r="CF965" s="229"/>
      <c r="CG965" s="229"/>
      <c r="CH965" s="229"/>
      <c r="CI965" s="229"/>
      <c r="CJ965" s="229"/>
      <c r="CK965" s="229"/>
      <c r="CL965" s="229"/>
      <c r="CM965" s="229"/>
      <c r="CN965" s="229"/>
      <c r="CO965" s="229"/>
      <c r="CP965" s="229"/>
      <c r="CQ965" s="229"/>
      <c r="CR965" s="229"/>
      <c r="CS965" s="229"/>
      <c r="CT965" s="229"/>
      <c r="CU965" s="229"/>
      <c r="CV965" s="229"/>
      <c r="CW965" s="229"/>
    </row>
    <row r="966" ht="15.75" hidden="1" customHeight="1">
      <c r="CD966" s="229"/>
      <c r="CE966" s="229"/>
      <c r="CF966" s="229"/>
      <c r="CG966" s="229"/>
      <c r="CH966" s="229"/>
      <c r="CI966" s="229"/>
      <c r="CJ966" s="229"/>
      <c r="CK966" s="229"/>
      <c r="CL966" s="229"/>
      <c r="CM966" s="229"/>
      <c r="CN966" s="229"/>
      <c r="CO966" s="229"/>
      <c r="CP966" s="229"/>
      <c r="CQ966" s="229"/>
      <c r="CR966" s="229"/>
      <c r="CS966" s="229"/>
      <c r="CT966" s="229"/>
      <c r="CU966" s="229"/>
      <c r="CV966" s="229"/>
      <c r="CW966" s="229"/>
    </row>
    <row r="967" ht="15.75" hidden="1" customHeight="1">
      <c r="CD967" s="229"/>
      <c r="CE967" s="229"/>
      <c r="CF967" s="229"/>
      <c r="CG967" s="229"/>
      <c r="CH967" s="229"/>
      <c r="CI967" s="229"/>
      <c r="CJ967" s="229"/>
      <c r="CK967" s="229"/>
      <c r="CL967" s="229"/>
      <c r="CM967" s="229"/>
      <c r="CN967" s="229"/>
      <c r="CO967" s="229"/>
      <c r="CP967" s="229"/>
      <c r="CQ967" s="229"/>
      <c r="CR967" s="229"/>
      <c r="CS967" s="229"/>
      <c r="CT967" s="229"/>
      <c r="CU967" s="229"/>
      <c r="CV967" s="229"/>
      <c r="CW967" s="229"/>
    </row>
    <row r="968" ht="15.75" hidden="1" customHeight="1">
      <c r="CD968" s="229"/>
      <c r="CE968" s="229"/>
      <c r="CF968" s="229"/>
      <c r="CG968" s="229"/>
      <c r="CH968" s="229"/>
      <c r="CI968" s="229"/>
      <c r="CJ968" s="229"/>
      <c r="CK968" s="229"/>
      <c r="CL968" s="229"/>
      <c r="CM968" s="229"/>
      <c r="CN968" s="229"/>
      <c r="CO968" s="229"/>
      <c r="CP968" s="229"/>
      <c r="CQ968" s="229"/>
      <c r="CR968" s="229"/>
      <c r="CS968" s="229"/>
      <c r="CT968" s="229"/>
      <c r="CU968" s="229"/>
      <c r="CV968" s="229"/>
      <c r="CW968" s="229"/>
    </row>
    <row r="969" ht="15.75" hidden="1" customHeight="1">
      <c r="CD969" s="229"/>
      <c r="CE969" s="229"/>
      <c r="CF969" s="229"/>
      <c r="CG969" s="229"/>
      <c r="CH969" s="229"/>
      <c r="CI969" s="229"/>
      <c r="CJ969" s="229"/>
      <c r="CK969" s="229"/>
      <c r="CL969" s="229"/>
      <c r="CM969" s="229"/>
      <c r="CN969" s="229"/>
      <c r="CO969" s="229"/>
      <c r="CP969" s="229"/>
      <c r="CQ969" s="229"/>
      <c r="CR969" s="229"/>
      <c r="CS969" s="229"/>
      <c r="CT969" s="229"/>
      <c r="CU969" s="229"/>
      <c r="CV969" s="229"/>
      <c r="CW969" s="229"/>
    </row>
    <row r="970" ht="15.75" hidden="1" customHeight="1">
      <c r="CD970" s="229"/>
      <c r="CE970" s="229"/>
      <c r="CF970" s="229"/>
      <c r="CG970" s="229"/>
      <c r="CH970" s="229"/>
      <c r="CI970" s="229"/>
      <c r="CJ970" s="229"/>
      <c r="CK970" s="229"/>
      <c r="CL970" s="229"/>
      <c r="CM970" s="229"/>
      <c r="CN970" s="229"/>
      <c r="CO970" s="229"/>
      <c r="CP970" s="229"/>
      <c r="CQ970" s="229"/>
      <c r="CR970" s="229"/>
      <c r="CS970" s="229"/>
      <c r="CT970" s="229"/>
      <c r="CU970" s="229"/>
      <c r="CV970" s="229"/>
      <c r="CW970" s="229"/>
    </row>
    <row r="971" ht="15.75" hidden="1" customHeight="1">
      <c r="CD971" s="229"/>
      <c r="CE971" s="229"/>
      <c r="CF971" s="229"/>
      <c r="CG971" s="229"/>
      <c r="CH971" s="229"/>
      <c r="CI971" s="229"/>
      <c r="CJ971" s="229"/>
      <c r="CK971" s="229"/>
      <c r="CL971" s="229"/>
      <c r="CM971" s="229"/>
      <c r="CN971" s="229"/>
      <c r="CO971" s="229"/>
      <c r="CP971" s="229"/>
      <c r="CQ971" s="229"/>
      <c r="CR971" s="229"/>
      <c r="CS971" s="229"/>
      <c r="CT971" s="229"/>
      <c r="CU971" s="229"/>
      <c r="CV971" s="229"/>
      <c r="CW971" s="229"/>
    </row>
    <row r="972" ht="15.75" hidden="1" customHeight="1">
      <c r="CD972" s="229"/>
      <c r="CE972" s="229"/>
      <c r="CF972" s="229"/>
      <c r="CG972" s="229"/>
      <c r="CH972" s="229"/>
      <c r="CI972" s="229"/>
      <c r="CJ972" s="229"/>
      <c r="CK972" s="229"/>
      <c r="CL972" s="229"/>
      <c r="CM972" s="229"/>
      <c r="CN972" s="229"/>
      <c r="CO972" s="229"/>
      <c r="CP972" s="229"/>
      <c r="CQ972" s="229"/>
      <c r="CR972" s="229"/>
      <c r="CS972" s="229"/>
      <c r="CT972" s="229"/>
      <c r="CU972" s="229"/>
      <c r="CV972" s="229"/>
      <c r="CW972" s="229"/>
    </row>
    <row r="973" ht="15.75" hidden="1" customHeight="1">
      <c r="CD973" s="229"/>
      <c r="CE973" s="229"/>
      <c r="CF973" s="229"/>
      <c r="CG973" s="229"/>
      <c r="CH973" s="229"/>
      <c r="CI973" s="229"/>
      <c r="CJ973" s="229"/>
      <c r="CK973" s="229"/>
      <c r="CL973" s="229"/>
      <c r="CM973" s="229"/>
      <c r="CN973" s="229"/>
      <c r="CO973" s="229"/>
      <c r="CP973" s="229"/>
      <c r="CQ973" s="229"/>
      <c r="CR973" s="229"/>
      <c r="CS973" s="229"/>
      <c r="CT973" s="229"/>
      <c r="CU973" s="229"/>
      <c r="CV973" s="229"/>
      <c r="CW973" s="229"/>
    </row>
    <row r="974" ht="15.75" hidden="1" customHeight="1">
      <c r="CD974" s="229"/>
      <c r="CE974" s="229"/>
      <c r="CF974" s="229"/>
      <c r="CG974" s="229"/>
      <c r="CH974" s="229"/>
      <c r="CI974" s="229"/>
      <c r="CJ974" s="229"/>
      <c r="CK974" s="229"/>
      <c r="CL974" s="229"/>
      <c r="CM974" s="229"/>
      <c r="CN974" s="229"/>
      <c r="CO974" s="229"/>
      <c r="CP974" s="229"/>
      <c r="CQ974" s="229"/>
      <c r="CR974" s="229"/>
      <c r="CS974" s="229"/>
      <c r="CT974" s="229"/>
      <c r="CU974" s="229"/>
      <c r="CV974" s="229"/>
      <c r="CW974" s="229"/>
    </row>
    <row r="975" ht="15.75" hidden="1" customHeight="1">
      <c r="CD975" s="229"/>
      <c r="CE975" s="229"/>
      <c r="CF975" s="229"/>
      <c r="CG975" s="229"/>
      <c r="CH975" s="229"/>
      <c r="CI975" s="229"/>
      <c r="CJ975" s="229"/>
      <c r="CK975" s="229"/>
      <c r="CL975" s="229"/>
      <c r="CM975" s="229"/>
      <c r="CN975" s="229"/>
      <c r="CO975" s="229"/>
      <c r="CP975" s="229"/>
      <c r="CQ975" s="229"/>
      <c r="CR975" s="229"/>
      <c r="CS975" s="229"/>
      <c r="CT975" s="229"/>
      <c r="CU975" s="229"/>
      <c r="CV975" s="229"/>
      <c r="CW975" s="229"/>
    </row>
    <row r="976" ht="15.75" hidden="1" customHeight="1">
      <c r="CD976" s="229"/>
      <c r="CE976" s="229"/>
      <c r="CF976" s="229"/>
      <c r="CG976" s="229"/>
      <c r="CH976" s="229"/>
      <c r="CI976" s="229"/>
      <c r="CJ976" s="229"/>
      <c r="CK976" s="229"/>
      <c r="CL976" s="229"/>
      <c r="CM976" s="229"/>
      <c r="CN976" s="229"/>
      <c r="CO976" s="229"/>
      <c r="CP976" s="229"/>
      <c r="CQ976" s="229"/>
      <c r="CR976" s="229"/>
      <c r="CS976" s="229"/>
      <c r="CT976" s="229"/>
      <c r="CU976" s="229"/>
      <c r="CV976" s="229"/>
      <c r="CW976" s="229"/>
    </row>
    <row r="977" ht="15.75" hidden="1" customHeight="1">
      <c r="CD977" s="229"/>
      <c r="CE977" s="229"/>
      <c r="CF977" s="229"/>
      <c r="CG977" s="229"/>
      <c r="CH977" s="229"/>
      <c r="CI977" s="229"/>
      <c r="CJ977" s="229"/>
      <c r="CK977" s="229"/>
      <c r="CL977" s="229"/>
      <c r="CM977" s="229"/>
      <c r="CN977" s="229"/>
      <c r="CO977" s="229"/>
      <c r="CP977" s="229"/>
      <c r="CQ977" s="229"/>
      <c r="CR977" s="229"/>
      <c r="CS977" s="229"/>
      <c r="CT977" s="229"/>
      <c r="CU977" s="229"/>
      <c r="CV977" s="229"/>
      <c r="CW977" s="229"/>
    </row>
    <row r="978" ht="15.75" hidden="1" customHeight="1">
      <c r="CD978" s="229"/>
      <c r="CE978" s="229"/>
      <c r="CF978" s="229"/>
      <c r="CG978" s="229"/>
      <c r="CH978" s="229"/>
      <c r="CI978" s="229"/>
      <c r="CJ978" s="229"/>
      <c r="CK978" s="229"/>
      <c r="CL978" s="229"/>
      <c r="CM978" s="229"/>
      <c r="CN978" s="229"/>
      <c r="CO978" s="229"/>
      <c r="CP978" s="229"/>
      <c r="CQ978" s="229"/>
      <c r="CR978" s="229"/>
      <c r="CS978" s="229"/>
      <c r="CT978" s="229"/>
      <c r="CU978" s="229"/>
      <c r="CV978" s="229"/>
      <c r="CW978" s="229"/>
    </row>
    <row r="979" ht="15.75" hidden="1" customHeight="1">
      <c r="CD979" s="229"/>
      <c r="CE979" s="229"/>
      <c r="CF979" s="229"/>
      <c r="CG979" s="229"/>
      <c r="CH979" s="229"/>
      <c r="CI979" s="229"/>
      <c r="CJ979" s="229"/>
      <c r="CK979" s="229"/>
      <c r="CL979" s="229"/>
      <c r="CM979" s="229"/>
      <c r="CN979" s="229"/>
      <c r="CO979" s="229"/>
      <c r="CP979" s="229"/>
      <c r="CQ979" s="229"/>
      <c r="CR979" s="229"/>
      <c r="CS979" s="229"/>
      <c r="CT979" s="229"/>
      <c r="CU979" s="229"/>
      <c r="CV979" s="229"/>
      <c r="CW979" s="229"/>
    </row>
    <row r="980" ht="15.75" hidden="1" customHeight="1">
      <c r="CD980" s="229"/>
      <c r="CE980" s="229"/>
      <c r="CF980" s="229"/>
      <c r="CG980" s="229"/>
      <c r="CH980" s="229"/>
      <c r="CI980" s="229"/>
      <c r="CJ980" s="229"/>
      <c r="CK980" s="229"/>
      <c r="CL980" s="229"/>
      <c r="CM980" s="229"/>
      <c r="CN980" s="229"/>
      <c r="CO980" s="229"/>
      <c r="CP980" s="229"/>
      <c r="CQ980" s="229"/>
      <c r="CR980" s="229"/>
      <c r="CS980" s="229"/>
      <c r="CT980" s="229"/>
      <c r="CU980" s="229"/>
      <c r="CV980" s="229"/>
      <c r="CW980" s="229"/>
    </row>
    <row r="981" ht="15.75" hidden="1" customHeight="1">
      <c r="CD981" s="229"/>
      <c r="CE981" s="229"/>
      <c r="CF981" s="229"/>
      <c r="CG981" s="229"/>
      <c r="CH981" s="229"/>
      <c r="CI981" s="229"/>
      <c r="CJ981" s="229"/>
      <c r="CK981" s="229"/>
      <c r="CL981" s="229"/>
      <c r="CM981" s="229"/>
      <c r="CN981" s="229"/>
      <c r="CO981" s="229"/>
      <c r="CP981" s="229"/>
      <c r="CQ981" s="229"/>
      <c r="CR981" s="229"/>
      <c r="CS981" s="229"/>
      <c r="CT981" s="229"/>
      <c r="CU981" s="229"/>
      <c r="CV981" s="229"/>
      <c r="CW981" s="229"/>
    </row>
    <row r="982" ht="15.75" hidden="1" customHeight="1">
      <c r="CD982" s="229"/>
      <c r="CE982" s="229"/>
      <c r="CF982" s="229"/>
      <c r="CG982" s="229"/>
      <c r="CH982" s="229"/>
      <c r="CI982" s="229"/>
      <c r="CJ982" s="229"/>
      <c r="CK982" s="229"/>
      <c r="CL982" s="229"/>
      <c r="CM982" s="229"/>
      <c r="CN982" s="229"/>
      <c r="CO982" s="229"/>
      <c r="CP982" s="229"/>
      <c r="CQ982" s="229"/>
      <c r="CR982" s="229"/>
      <c r="CS982" s="229"/>
      <c r="CT982" s="229"/>
      <c r="CU982" s="229"/>
      <c r="CV982" s="229"/>
      <c r="CW982" s="229"/>
    </row>
    <row r="983" ht="15.75" hidden="1" customHeight="1">
      <c r="CD983" s="229"/>
      <c r="CE983" s="229"/>
      <c r="CF983" s="229"/>
      <c r="CG983" s="229"/>
      <c r="CH983" s="229"/>
      <c r="CI983" s="229"/>
      <c r="CJ983" s="229"/>
      <c r="CK983" s="229"/>
      <c r="CL983" s="229"/>
      <c r="CM983" s="229"/>
      <c r="CN983" s="229"/>
      <c r="CO983" s="229"/>
      <c r="CP983" s="229"/>
      <c r="CQ983" s="229"/>
      <c r="CR983" s="229"/>
      <c r="CS983" s="229"/>
      <c r="CT983" s="229"/>
      <c r="CU983" s="229"/>
      <c r="CV983" s="229"/>
      <c r="CW983" s="229"/>
    </row>
    <row r="984" ht="15.75" hidden="1" customHeight="1">
      <c r="CD984" s="229"/>
      <c r="CE984" s="229"/>
      <c r="CF984" s="229"/>
      <c r="CG984" s="229"/>
      <c r="CH984" s="229"/>
      <c r="CI984" s="229"/>
      <c r="CJ984" s="229"/>
      <c r="CK984" s="229"/>
      <c r="CL984" s="229"/>
      <c r="CM984" s="229"/>
      <c r="CN984" s="229"/>
      <c r="CO984" s="229"/>
      <c r="CP984" s="229"/>
      <c r="CQ984" s="229"/>
      <c r="CR984" s="229"/>
      <c r="CS984" s="229"/>
      <c r="CT984" s="229"/>
      <c r="CU984" s="229"/>
      <c r="CV984" s="229"/>
      <c r="CW984" s="229"/>
    </row>
    <row r="985" ht="15.75" hidden="1" customHeight="1">
      <c r="CD985" s="229"/>
      <c r="CE985" s="229"/>
      <c r="CF985" s="229"/>
      <c r="CG985" s="229"/>
      <c r="CH985" s="229"/>
      <c r="CI985" s="229"/>
      <c r="CJ985" s="229"/>
      <c r="CK985" s="229"/>
      <c r="CL985" s="229"/>
      <c r="CM985" s="229"/>
      <c r="CN985" s="229"/>
      <c r="CO985" s="229"/>
      <c r="CP985" s="229"/>
      <c r="CQ985" s="229"/>
      <c r="CR985" s="229"/>
      <c r="CS985" s="229"/>
      <c r="CT985" s="229"/>
      <c r="CU985" s="229"/>
      <c r="CV985" s="229"/>
      <c r="CW985" s="229"/>
    </row>
    <row r="986" ht="15.75" hidden="1" customHeight="1">
      <c r="CD986" s="229"/>
      <c r="CE986" s="229"/>
      <c r="CF986" s="229"/>
      <c r="CG986" s="229"/>
      <c r="CH986" s="229"/>
      <c r="CI986" s="229"/>
      <c r="CJ986" s="229"/>
      <c r="CK986" s="229"/>
      <c r="CL986" s="229"/>
      <c r="CM986" s="229"/>
      <c r="CN986" s="229"/>
      <c r="CO986" s="229"/>
      <c r="CP986" s="229"/>
      <c r="CQ986" s="229"/>
      <c r="CR986" s="229"/>
      <c r="CS986" s="229"/>
      <c r="CT986" s="229"/>
      <c r="CU986" s="229"/>
      <c r="CV986" s="229"/>
      <c r="CW986" s="229"/>
    </row>
    <row r="987" ht="15.75" hidden="1" customHeight="1">
      <c r="CD987" s="229"/>
      <c r="CE987" s="229"/>
      <c r="CF987" s="229"/>
      <c r="CG987" s="229"/>
      <c r="CH987" s="229"/>
      <c r="CI987" s="229"/>
      <c r="CJ987" s="229"/>
      <c r="CK987" s="229"/>
      <c r="CL987" s="229"/>
      <c r="CM987" s="229"/>
      <c r="CN987" s="229"/>
      <c r="CO987" s="229"/>
      <c r="CP987" s="229"/>
      <c r="CQ987" s="229"/>
      <c r="CR987" s="229"/>
      <c r="CS987" s="229"/>
      <c r="CT987" s="229"/>
      <c r="CU987" s="229"/>
      <c r="CV987" s="229"/>
      <c r="CW987" s="229"/>
    </row>
    <row r="988" ht="15.75" hidden="1" customHeight="1">
      <c r="CD988" s="229"/>
      <c r="CE988" s="229"/>
      <c r="CF988" s="229"/>
      <c r="CG988" s="229"/>
      <c r="CH988" s="229"/>
      <c r="CI988" s="229"/>
      <c r="CJ988" s="229"/>
      <c r="CK988" s="229"/>
      <c r="CL988" s="229"/>
      <c r="CM988" s="229"/>
      <c r="CN988" s="229"/>
      <c r="CO988" s="229"/>
      <c r="CP988" s="229"/>
      <c r="CQ988" s="229"/>
      <c r="CR988" s="229"/>
      <c r="CS988" s="229"/>
      <c r="CT988" s="229"/>
      <c r="CU988" s="229"/>
      <c r="CV988" s="229"/>
      <c r="CW988" s="229"/>
    </row>
    <row r="989" ht="15.75" hidden="1" customHeight="1">
      <c r="CD989" s="229"/>
      <c r="CE989" s="229"/>
      <c r="CF989" s="229"/>
      <c r="CG989" s="229"/>
      <c r="CH989" s="229"/>
      <c r="CI989" s="229"/>
      <c r="CJ989" s="229"/>
      <c r="CK989" s="229"/>
      <c r="CL989" s="229"/>
      <c r="CM989" s="229"/>
      <c r="CN989" s="229"/>
      <c r="CO989" s="229"/>
      <c r="CP989" s="229"/>
      <c r="CQ989" s="229"/>
      <c r="CR989" s="229"/>
      <c r="CS989" s="229"/>
      <c r="CT989" s="229"/>
      <c r="CU989" s="229"/>
      <c r="CV989" s="229"/>
      <c r="CW989" s="229"/>
    </row>
    <row r="990" ht="15.75" hidden="1" customHeight="1">
      <c r="CD990" s="229"/>
      <c r="CE990" s="229"/>
      <c r="CF990" s="229"/>
      <c r="CG990" s="229"/>
      <c r="CH990" s="229"/>
      <c r="CI990" s="229"/>
      <c r="CJ990" s="229"/>
      <c r="CK990" s="229"/>
      <c r="CL990" s="229"/>
      <c r="CM990" s="229"/>
      <c r="CN990" s="229"/>
      <c r="CO990" s="229"/>
      <c r="CP990" s="229"/>
      <c r="CQ990" s="229"/>
      <c r="CR990" s="229"/>
      <c r="CS990" s="229"/>
      <c r="CT990" s="229"/>
      <c r="CU990" s="229"/>
      <c r="CV990" s="229"/>
      <c r="CW990" s="229"/>
    </row>
    <row r="991" ht="15.75" hidden="1" customHeight="1">
      <c r="CD991" s="229"/>
      <c r="CE991" s="229"/>
      <c r="CF991" s="229"/>
      <c r="CG991" s="229"/>
      <c r="CH991" s="229"/>
      <c r="CI991" s="229"/>
      <c r="CJ991" s="229"/>
      <c r="CK991" s="229"/>
      <c r="CL991" s="229"/>
      <c r="CM991" s="229"/>
      <c r="CN991" s="229"/>
      <c r="CO991" s="229"/>
      <c r="CP991" s="229"/>
      <c r="CQ991" s="229"/>
      <c r="CR991" s="229"/>
      <c r="CS991" s="229"/>
      <c r="CT991" s="229"/>
      <c r="CU991" s="229"/>
      <c r="CV991" s="229"/>
      <c r="CW991" s="229"/>
    </row>
    <row r="992" ht="15.75" hidden="1" customHeight="1">
      <c r="CD992" s="229"/>
      <c r="CE992" s="229"/>
      <c r="CF992" s="229"/>
      <c r="CG992" s="229"/>
      <c r="CH992" s="229"/>
      <c r="CI992" s="229"/>
      <c r="CJ992" s="229"/>
      <c r="CK992" s="229"/>
      <c r="CL992" s="229"/>
      <c r="CM992" s="229"/>
      <c r="CN992" s="229"/>
      <c r="CO992" s="229"/>
      <c r="CP992" s="229"/>
      <c r="CQ992" s="229"/>
      <c r="CR992" s="229"/>
      <c r="CS992" s="229"/>
      <c r="CT992" s="229"/>
      <c r="CU992" s="229"/>
      <c r="CV992" s="229"/>
      <c r="CW992" s="229"/>
    </row>
    <row r="993" ht="15.75" hidden="1" customHeight="1">
      <c r="CD993" s="229"/>
      <c r="CE993" s="229"/>
      <c r="CF993" s="229"/>
      <c r="CG993" s="229"/>
      <c r="CH993" s="229"/>
      <c r="CI993" s="229"/>
      <c r="CJ993" s="229"/>
      <c r="CK993" s="229"/>
      <c r="CL993" s="229"/>
      <c r="CM993" s="229"/>
      <c r="CN993" s="229"/>
      <c r="CO993" s="229"/>
      <c r="CP993" s="229"/>
      <c r="CQ993" s="229"/>
      <c r="CR993" s="229"/>
      <c r="CS993" s="229"/>
      <c r="CT993" s="229"/>
      <c r="CU993" s="229"/>
      <c r="CV993" s="229"/>
      <c r="CW993" s="229"/>
    </row>
    <row r="994" ht="15.75" hidden="1" customHeight="1">
      <c r="CD994" s="229"/>
      <c r="CE994" s="229"/>
      <c r="CF994" s="229"/>
      <c r="CG994" s="229"/>
      <c r="CH994" s="229"/>
      <c r="CI994" s="229"/>
      <c r="CJ994" s="229"/>
      <c r="CK994" s="229"/>
      <c r="CL994" s="229"/>
      <c r="CM994" s="229"/>
      <c r="CN994" s="229"/>
      <c r="CO994" s="229"/>
      <c r="CP994" s="229"/>
      <c r="CQ994" s="229"/>
      <c r="CR994" s="229"/>
      <c r="CS994" s="229"/>
      <c r="CT994" s="229"/>
      <c r="CU994" s="229"/>
      <c r="CV994" s="229"/>
      <c r="CW994" s="229"/>
    </row>
    <row r="995" ht="15.75" hidden="1" customHeight="1">
      <c r="CD995" s="229"/>
      <c r="CE995" s="229"/>
      <c r="CF995" s="229"/>
      <c r="CG995" s="229"/>
      <c r="CH995" s="229"/>
      <c r="CI995" s="229"/>
      <c r="CJ995" s="229"/>
      <c r="CK995" s="229"/>
      <c r="CL995" s="229"/>
      <c r="CM995" s="229"/>
      <c r="CN995" s="229"/>
      <c r="CO995" s="229"/>
      <c r="CP995" s="229"/>
      <c r="CQ995" s="229"/>
      <c r="CR995" s="229"/>
      <c r="CS995" s="229"/>
      <c r="CT995" s="229"/>
      <c r="CU995" s="229"/>
      <c r="CV995" s="229"/>
      <c r="CW995" s="229"/>
    </row>
    <row r="996" ht="15.75" hidden="1" customHeight="1">
      <c r="CD996" s="229"/>
      <c r="CE996" s="229"/>
      <c r="CF996" s="229"/>
      <c r="CG996" s="229"/>
      <c r="CH996" s="229"/>
      <c r="CI996" s="229"/>
      <c r="CJ996" s="229"/>
      <c r="CK996" s="229"/>
      <c r="CL996" s="229"/>
      <c r="CM996" s="229"/>
      <c r="CN996" s="229"/>
      <c r="CO996" s="229"/>
      <c r="CP996" s="229"/>
      <c r="CQ996" s="229"/>
      <c r="CR996" s="229"/>
      <c r="CS996" s="229"/>
      <c r="CT996" s="229"/>
      <c r="CU996" s="229"/>
      <c r="CV996" s="229"/>
      <c r="CW996" s="229"/>
    </row>
    <row r="997" ht="15.75" hidden="1" customHeight="1">
      <c r="CD997" s="229"/>
      <c r="CE997" s="229"/>
      <c r="CF997" s="229"/>
      <c r="CG997" s="229"/>
      <c r="CH997" s="229"/>
      <c r="CI997" s="229"/>
      <c r="CJ997" s="229"/>
      <c r="CK997" s="229"/>
      <c r="CL997" s="229"/>
      <c r="CM997" s="229"/>
      <c r="CN997" s="229"/>
      <c r="CO997" s="229"/>
      <c r="CP997" s="229"/>
      <c r="CQ997" s="229"/>
      <c r="CR997" s="229"/>
      <c r="CS997" s="229"/>
      <c r="CT997" s="229"/>
      <c r="CU997" s="229"/>
      <c r="CV997" s="229"/>
      <c r="CW997" s="229"/>
    </row>
    <row r="998" ht="15.75" hidden="1" customHeight="1">
      <c r="CD998" s="229"/>
      <c r="CE998" s="229"/>
      <c r="CF998" s="229"/>
      <c r="CG998" s="229"/>
      <c r="CH998" s="229"/>
      <c r="CI998" s="229"/>
      <c r="CJ998" s="229"/>
      <c r="CK998" s="229"/>
      <c r="CL998" s="229"/>
      <c r="CM998" s="229"/>
      <c r="CN998" s="229"/>
      <c r="CO998" s="229"/>
      <c r="CP998" s="229"/>
      <c r="CQ998" s="229"/>
      <c r="CR998" s="229"/>
      <c r="CS998" s="229"/>
      <c r="CT998" s="229"/>
      <c r="CU998" s="229"/>
      <c r="CV998" s="229"/>
      <c r="CW998" s="229"/>
    </row>
    <row r="999" ht="15.75" hidden="1" customHeight="1">
      <c r="CD999" s="229"/>
      <c r="CE999" s="229"/>
      <c r="CF999" s="229"/>
      <c r="CG999" s="229"/>
      <c r="CH999" s="229"/>
      <c r="CI999" s="229"/>
      <c r="CJ999" s="229"/>
      <c r="CK999" s="229"/>
      <c r="CL999" s="229"/>
      <c r="CM999" s="229"/>
      <c r="CN999" s="229"/>
      <c r="CO999" s="229"/>
      <c r="CP999" s="229"/>
      <c r="CQ999" s="229"/>
      <c r="CR999" s="229"/>
      <c r="CS999" s="229"/>
      <c r="CT999" s="229"/>
      <c r="CU999" s="229"/>
      <c r="CV999" s="229"/>
      <c r="CW999" s="229"/>
    </row>
    <row r="1000" ht="15.75" hidden="1" customHeight="1">
      <c r="CD1000" s="229"/>
      <c r="CE1000" s="229"/>
      <c r="CF1000" s="229"/>
      <c r="CG1000" s="229"/>
      <c r="CH1000" s="229"/>
      <c r="CI1000" s="229"/>
      <c r="CJ1000" s="229"/>
      <c r="CK1000" s="229"/>
      <c r="CL1000" s="229"/>
      <c r="CM1000" s="229"/>
      <c r="CN1000" s="229"/>
      <c r="CO1000" s="229"/>
      <c r="CP1000" s="229"/>
      <c r="CQ1000" s="229"/>
      <c r="CR1000" s="229"/>
      <c r="CS1000" s="229"/>
      <c r="CT1000" s="229"/>
      <c r="CU1000" s="229"/>
      <c r="CV1000" s="229"/>
      <c r="CW1000" s="229"/>
    </row>
    <row r="1001" ht="15.75" hidden="1" customHeight="1">
      <c r="CD1001" s="229"/>
      <c r="CE1001" s="229"/>
      <c r="CF1001" s="229"/>
      <c r="CG1001" s="229"/>
      <c r="CH1001" s="229"/>
      <c r="CI1001" s="229"/>
      <c r="CJ1001" s="229"/>
      <c r="CK1001" s="229"/>
      <c r="CL1001" s="229"/>
      <c r="CM1001" s="229"/>
      <c r="CN1001" s="229"/>
      <c r="CO1001" s="229"/>
      <c r="CP1001" s="229"/>
      <c r="CQ1001" s="229"/>
      <c r="CR1001" s="229"/>
      <c r="CS1001" s="229"/>
      <c r="CT1001" s="229"/>
      <c r="CU1001" s="229"/>
      <c r="CV1001" s="229"/>
      <c r="CW1001" s="229"/>
    </row>
    <row r="1002" ht="15.75" hidden="1" customHeight="1">
      <c r="CD1002" s="229"/>
      <c r="CE1002" s="229"/>
      <c r="CF1002" s="229"/>
      <c r="CG1002" s="229"/>
      <c r="CH1002" s="229"/>
      <c r="CI1002" s="229"/>
      <c r="CJ1002" s="229"/>
      <c r="CK1002" s="229"/>
      <c r="CL1002" s="229"/>
      <c r="CM1002" s="229"/>
      <c r="CN1002" s="229"/>
      <c r="CO1002" s="229"/>
      <c r="CP1002" s="229"/>
      <c r="CQ1002" s="229"/>
      <c r="CR1002" s="229"/>
      <c r="CS1002" s="229"/>
      <c r="CT1002" s="229"/>
      <c r="CU1002" s="229"/>
      <c r="CV1002" s="229"/>
      <c r="CW1002" s="229"/>
    </row>
    <row r="1003" ht="15.75" hidden="1" customHeight="1">
      <c r="CD1003" s="229"/>
      <c r="CE1003" s="229"/>
      <c r="CF1003" s="229"/>
      <c r="CG1003" s="229"/>
      <c r="CH1003" s="229"/>
      <c r="CI1003" s="229"/>
      <c r="CJ1003" s="229"/>
      <c r="CK1003" s="229"/>
      <c r="CL1003" s="229"/>
      <c r="CM1003" s="229"/>
      <c r="CN1003" s="229"/>
      <c r="CO1003" s="229"/>
      <c r="CP1003" s="229"/>
      <c r="CQ1003" s="229"/>
      <c r="CR1003" s="229"/>
      <c r="CS1003" s="229"/>
      <c r="CT1003" s="229"/>
      <c r="CU1003" s="229"/>
      <c r="CV1003" s="229"/>
      <c r="CW1003" s="229"/>
    </row>
    <row r="1004" ht="15.75" hidden="1" customHeight="1">
      <c r="CD1004" s="229"/>
      <c r="CE1004" s="229"/>
      <c r="CF1004" s="229"/>
      <c r="CG1004" s="229"/>
      <c r="CH1004" s="229"/>
      <c r="CI1004" s="229"/>
      <c r="CJ1004" s="229"/>
      <c r="CK1004" s="229"/>
      <c r="CL1004" s="229"/>
      <c r="CM1004" s="229"/>
      <c r="CN1004" s="229"/>
      <c r="CO1004" s="229"/>
      <c r="CP1004" s="229"/>
      <c r="CQ1004" s="229"/>
      <c r="CR1004" s="229"/>
      <c r="CS1004" s="229"/>
      <c r="CT1004" s="229"/>
      <c r="CU1004" s="229"/>
      <c r="CV1004" s="229"/>
      <c r="CW1004" s="229"/>
    </row>
    <row r="1005" ht="15.75" hidden="1" customHeight="1">
      <c r="CD1005" s="229"/>
      <c r="CE1005" s="229"/>
      <c r="CF1005" s="229"/>
      <c r="CG1005" s="229"/>
      <c r="CH1005" s="229"/>
      <c r="CI1005" s="229"/>
      <c r="CJ1005" s="229"/>
      <c r="CK1005" s="229"/>
      <c r="CL1005" s="229"/>
      <c r="CM1005" s="229"/>
      <c r="CN1005" s="229"/>
      <c r="CO1005" s="229"/>
      <c r="CP1005" s="229"/>
      <c r="CQ1005" s="229"/>
      <c r="CR1005" s="229"/>
      <c r="CS1005" s="229"/>
      <c r="CT1005" s="229"/>
      <c r="CU1005" s="229"/>
      <c r="CV1005" s="229"/>
      <c r="CW1005" s="229"/>
    </row>
    <row r="1006" ht="15.75" hidden="1" customHeight="1">
      <c r="CD1006" s="229"/>
      <c r="CE1006" s="229"/>
      <c r="CF1006" s="229"/>
      <c r="CG1006" s="229"/>
      <c r="CH1006" s="229"/>
      <c r="CI1006" s="229"/>
      <c r="CJ1006" s="229"/>
      <c r="CK1006" s="229"/>
      <c r="CL1006" s="229"/>
      <c r="CM1006" s="229"/>
      <c r="CN1006" s="229"/>
      <c r="CO1006" s="229"/>
      <c r="CP1006" s="229"/>
      <c r="CQ1006" s="229"/>
      <c r="CR1006" s="229"/>
      <c r="CS1006" s="229"/>
      <c r="CT1006" s="229"/>
      <c r="CU1006" s="229"/>
      <c r="CV1006" s="229"/>
      <c r="CW1006" s="229"/>
    </row>
    <row r="1007" ht="15.75" hidden="1" customHeight="1">
      <c r="CD1007" s="229"/>
      <c r="CE1007" s="229"/>
      <c r="CF1007" s="229"/>
      <c r="CG1007" s="229"/>
      <c r="CH1007" s="229"/>
      <c r="CI1007" s="229"/>
      <c r="CJ1007" s="229"/>
      <c r="CK1007" s="229"/>
      <c r="CL1007" s="229"/>
      <c r="CM1007" s="229"/>
      <c r="CN1007" s="229"/>
      <c r="CO1007" s="229"/>
      <c r="CP1007" s="229"/>
      <c r="CQ1007" s="229"/>
      <c r="CR1007" s="229"/>
      <c r="CS1007" s="229"/>
      <c r="CT1007" s="229"/>
      <c r="CU1007" s="229"/>
      <c r="CV1007" s="229"/>
      <c r="CW1007" s="229"/>
    </row>
    <row r="1008" ht="15.75" hidden="1" customHeight="1">
      <c r="CD1008" s="229"/>
      <c r="CE1008" s="229"/>
      <c r="CF1008" s="229"/>
      <c r="CG1008" s="229"/>
      <c r="CH1008" s="229"/>
      <c r="CI1008" s="229"/>
      <c r="CJ1008" s="229"/>
      <c r="CK1008" s="229"/>
      <c r="CL1008" s="229"/>
      <c r="CM1008" s="229"/>
      <c r="CN1008" s="229"/>
      <c r="CO1008" s="229"/>
      <c r="CP1008" s="229"/>
      <c r="CQ1008" s="229"/>
      <c r="CR1008" s="229"/>
      <c r="CS1008" s="229"/>
      <c r="CT1008" s="229"/>
      <c r="CU1008" s="229"/>
      <c r="CV1008" s="229"/>
      <c r="CW1008" s="229"/>
    </row>
    <row r="1009" ht="15.75" hidden="1" customHeight="1">
      <c r="CD1009" s="229"/>
      <c r="CE1009" s="229"/>
      <c r="CF1009" s="229"/>
      <c r="CG1009" s="229"/>
      <c r="CH1009" s="229"/>
      <c r="CI1009" s="229"/>
      <c r="CJ1009" s="229"/>
      <c r="CK1009" s="229"/>
      <c r="CL1009" s="229"/>
      <c r="CM1009" s="229"/>
      <c r="CN1009" s="229"/>
      <c r="CO1009" s="229"/>
      <c r="CP1009" s="229"/>
      <c r="CQ1009" s="229"/>
      <c r="CR1009" s="229"/>
      <c r="CS1009" s="229"/>
      <c r="CT1009" s="229"/>
      <c r="CU1009" s="229"/>
      <c r="CV1009" s="229"/>
      <c r="CW1009" s="229"/>
    </row>
    <row r="1010" ht="15.75" hidden="1" customHeight="1">
      <c r="CD1010" s="229"/>
      <c r="CE1010" s="229"/>
      <c r="CF1010" s="229"/>
      <c r="CG1010" s="229"/>
      <c r="CH1010" s="229"/>
      <c r="CI1010" s="229"/>
      <c r="CJ1010" s="229"/>
      <c r="CK1010" s="229"/>
      <c r="CL1010" s="229"/>
      <c r="CM1010" s="229"/>
      <c r="CN1010" s="229"/>
      <c r="CO1010" s="229"/>
      <c r="CP1010" s="229"/>
      <c r="CQ1010" s="229"/>
      <c r="CR1010" s="229"/>
      <c r="CS1010" s="229"/>
      <c r="CT1010" s="229"/>
      <c r="CU1010" s="229"/>
      <c r="CV1010" s="229"/>
      <c r="CW1010" s="229"/>
    </row>
    <row r="1011" ht="15.75" hidden="1" customHeight="1">
      <c r="CD1011" s="229"/>
      <c r="CE1011" s="229"/>
      <c r="CF1011" s="229"/>
      <c r="CG1011" s="229"/>
      <c r="CH1011" s="229"/>
      <c r="CI1011" s="229"/>
      <c r="CJ1011" s="229"/>
      <c r="CK1011" s="229"/>
      <c r="CL1011" s="229"/>
      <c r="CM1011" s="229"/>
      <c r="CN1011" s="229"/>
      <c r="CO1011" s="229"/>
      <c r="CP1011" s="229"/>
      <c r="CQ1011" s="229"/>
      <c r="CR1011" s="229"/>
      <c r="CS1011" s="229"/>
      <c r="CT1011" s="229"/>
      <c r="CU1011" s="229"/>
      <c r="CV1011" s="229"/>
      <c r="CW1011" s="229"/>
    </row>
    <row r="1012" ht="15.75" hidden="1" customHeight="1">
      <c r="CD1012" s="229"/>
      <c r="CE1012" s="229"/>
      <c r="CF1012" s="229"/>
      <c r="CG1012" s="229"/>
      <c r="CH1012" s="229"/>
      <c r="CI1012" s="229"/>
      <c r="CJ1012" s="229"/>
      <c r="CK1012" s="229"/>
      <c r="CL1012" s="229"/>
      <c r="CM1012" s="229"/>
      <c r="CN1012" s="229"/>
      <c r="CO1012" s="229"/>
      <c r="CP1012" s="229"/>
      <c r="CQ1012" s="229"/>
      <c r="CR1012" s="229"/>
      <c r="CS1012" s="229"/>
      <c r="CT1012" s="229"/>
      <c r="CU1012" s="229"/>
      <c r="CV1012" s="229"/>
      <c r="CW1012" s="229"/>
    </row>
    <row r="1013" ht="15.75" hidden="1" customHeight="1">
      <c r="CD1013" s="229"/>
      <c r="CE1013" s="229"/>
      <c r="CF1013" s="229"/>
      <c r="CG1013" s="229"/>
      <c r="CH1013" s="229"/>
      <c r="CI1013" s="229"/>
      <c r="CJ1013" s="229"/>
      <c r="CK1013" s="229"/>
      <c r="CL1013" s="229"/>
      <c r="CM1013" s="229"/>
      <c r="CN1013" s="229"/>
      <c r="CO1013" s="229"/>
      <c r="CP1013" s="229"/>
      <c r="CQ1013" s="229"/>
      <c r="CR1013" s="229"/>
      <c r="CS1013" s="229"/>
      <c r="CT1013" s="229"/>
      <c r="CU1013" s="229"/>
      <c r="CV1013" s="229"/>
      <c r="CW1013" s="229"/>
    </row>
    <row r="1014" ht="15.75" hidden="1" customHeight="1">
      <c r="CD1014" s="229"/>
      <c r="CE1014" s="229"/>
      <c r="CF1014" s="229"/>
      <c r="CG1014" s="229"/>
      <c r="CH1014" s="229"/>
      <c r="CI1014" s="229"/>
      <c r="CJ1014" s="229"/>
      <c r="CK1014" s="229"/>
      <c r="CL1014" s="229"/>
      <c r="CM1014" s="229"/>
      <c r="CN1014" s="229"/>
      <c r="CO1014" s="229"/>
      <c r="CP1014" s="229"/>
      <c r="CQ1014" s="229"/>
      <c r="CR1014" s="229"/>
      <c r="CS1014" s="229"/>
      <c r="CT1014" s="229"/>
      <c r="CU1014" s="229"/>
      <c r="CV1014" s="229"/>
      <c r="CW1014" s="229"/>
    </row>
    <row r="1015" ht="15.75" hidden="1" customHeight="1">
      <c r="CD1015" s="229"/>
      <c r="CE1015" s="229"/>
      <c r="CF1015" s="229"/>
      <c r="CG1015" s="229"/>
      <c r="CH1015" s="229"/>
      <c r="CI1015" s="229"/>
      <c r="CJ1015" s="229"/>
      <c r="CK1015" s="229"/>
      <c r="CL1015" s="229"/>
      <c r="CM1015" s="229"/>
      <c r="CN1015" s="229"/>
      <c r="CO1015" s="229"/>
      <c r="CP1015" s="229"/>
      <c r="CQ1015" s="229"/>
      <c r="CR1015" s="229"/>
      <c r="CS1015" s="229"/>
      <c r="CT1015" s="229"/>
      <c r="CU1015" s="229"/>
      <c r="CV1015" s="229"/>
      <c r="CW1015" s="229"/>
    </row>
    <row r="1016" ht="15.75" hidden="1" customHeight="1">
      <c r="CD1016" s="229"/>
      <c r="CE1016" s="229"/>
      <c r="CF1016" s="229"/>
      <c r="CG1016" s="229"/>
      <c r="CH1016" s="229"/>
      <c r="CI1016" s="229"/>
      <c r="CJ1016" s="229"/>
      <c r="CK1016" s="229"/>
      <c r="CL1016" s="229"/>
      <c r="CM1016" s="229"/>
      <c r="CN1016" s="229"/>
      <c r="CO1016" s="229"/>
      <c r="CP1016" s="229"/>
      <c r="CQ1016" s="229"/>
      <c r="CR1016" s="229"/>
      <c r="CS1016" s="229"/>
      <c r="CT1016" s="229"/>
      <c r="CU1016" s="229"/>
      <c r="CV1016" s="229"/>
      <c r="CW1016" s="229"/>
    </row>
    <row r="1017" ht="15.75" hidden="1" customHeight="1">
      <c r="CD1017" s="229"/>
      <c r="CE1017" s="229"/>
      <c r="CF1017" s="229"/>
      <c r="CG1017" s="229"/>
      <c r="CH1017" s="229"/>
      <c r="CI1017" s="229"/>
      <c r="CJ1017" s="229"/>
      <c r="CK1017" s="229"/>
      <c r="CL1017" s="229"/>
      <c r="CM1017" s="229"/>
      <c r="CN1017" s="229"/>
      <c r="CO1017" s="229"/>
      <c r="CP1017" s="229"/>
      <c r="CQ1017" s="229"/>
      <c r="CR1017" s="229"/>
      <c r="CS1017" s="229"/>
      <c r="CT1017" s="229"/>
      <c r="CU1017" s="229"/>
      <c r="CV1017" s="229"/>
      <c r="CW1017" s="229"/>
    </row>
    <row r="1018" ht="15.75" hidden="1" customHeight="1">
      <c r="CD1018" s="229"/>
      <c r="CE1018" s="229"/>
      <c r="CF1018" s="229"/>
      <c r="CG1018" s="229"/>
      <c r="CH1018" s="229"/>
      <c r="CI1018" s="229"/>
      <c r="CJ1018" s="229"/>
      <c r="CK1018" s="229"/>
      <c r="CL1018" s="229"/>
      <c r="CM1018" s="229"/>
      <c r="CN1018" s="229"/>
      <c r="CO1018" s="229"/>
      <c r="CP1018" s="229"/>
      <c r="CQ1018" s="229"/>
      <c r="CR1018" s="229"/>
      <c r="CS1018" s="229"/>
      <c r="CT1018" s="229"/>
      <c r="CU1018" s="229"/>
      <c r="CV1018" s="229"/>
      <c r="CW1018" s="229"/>
    </row>
    <row r="1019" ht="15.75" hidden="1" customHeight="1">
      <c r="CD1019" s="229"/>
      <c r="CE1019" s="229"/>
      <c r="CF1019" s="229"/>
      <c r="CG1019" s="229"/>
      <c r="CH1019" s="229"/>
      <c r="CI1019" s="229"/>
      <c r="CJ1019" s="229"/>
      <c r="CK1019" s="229"/>
      <c r="CL1019" s="229"/>
      <c r="CM1019" s="229"/>
      <c r="CN1019" s="229"/>
      <c r="CO1019" s="229"/>
      <c r="CP1019" s="229"/>
      <c r="CQ1019" s="229"/>
      <c r="CR1019" s="229"/>
      <c r="CS1019" s="229"/>
      <c r="CT1019" s="229"/>
      <c r="CU1019" s="229"/>
      <c r="CV1019" s="229"/>
      <c r="CW1019" s="229"/>
    </row>
    <row r="1020" ht="15.75" hidden="1" customHeight="1">
      <c r="CD1020" s="229"/>
      <c r="CE1020" s="229"/>
      <c r="CF1020" s="229"/>
      <c r="CG1020" s="229"/>
      <c r="CH1020" s="229"/>
      <c r="CI1020" s="229"/>
      <c r="CJ1020" s="229"/>
      <c r="CK1020" s="229"/>
      <c r="CL1020" s="229"/>
      <c r="CM1020" s="229"/>
      <c r="CN1020" s="229"/>
      <c r="CO1020" s="229"/>
      <c r="CP1020" s="229"/>
      <c r="CQ1020" s="229"/>
      <c r="CR1020" s="229"/>
      <c r="CS1020" s="229"/>
      <c r="CT1020" s="229"/>
      <c r="CU1020" s="229"/>
      <c r="CV1020" s="229"/>
      <c r="CW1020" s="229"/>
    </row>
    <row r="1021" ht="15.75" hidden="1" customHeight="1">
      <c r="CD1021" s="229"/>
      <c r="CE1021" s="229"/>
      <c r="CF1021" s="229"/>
      <c r="CG1021" s="229"/>
      <c r="CH1021" s="229"/>
      <c r="CI1021" s="229"/>
      <c r="CJ1021" s="229"/>
      <c r="CK1021" s="229"/>
      <c r="CL1021" s="229"/>
      <c r="CM1021" s="229"/>
      <c r="CN1021" s="229"/>
      <c r="CO1021" s="229"/>
      <c r="CP1021" s="229"/>
      <c r="CQ1021" s="229"/>
      <c r="CR1021" s="229"/>
      <c r="CS1021" s="229"/>
      <c r="CT1021" s="229"/>
      <c r="CU1021" s="229"/>
      <c r="CV1021" s="229"/>
      <c r="CW1021" s="229"/>
    </row>
    <row r="1022" ht="15.75" hidden="1" customHeight="1">
      <c r="CD1022" s="229"/>
      <c r="CE1022" s="229"/>
      <c r="CF1022" s="229"/>
      <c r="CG1022" s="229"/>
      <c r="CH1022" s="229"/>
      <c r="CI1022" s="229"/>
      <c r="CJ1022" s="229"/>
      <c r="CK1022" s="229"/>
      <c r="CL1022" s="229"/>
      <c r="CM1022" s="229"/>
      <c r="CN1022" s="229"/>
      <c r="CO1022" s="229"/>
      <c r="CP1022" s="229"/>
      <c r="CQ1022" s="229"/>
      <c r="CR1022" s="229"/>
      <c r="CS1022" s="229"/>
      <c r="CT1022" s="229"/>
      <c r="CU1022" s="229"/>
      <c r="CV1022" s="229"/>
      <c r="CW1022" s="229"/>
    </row>
    <row r="1023" ht="15.75" hidden="1" customHeight="1">
      <c r="CD1023" s="229"/>
      <c r="CE1023" s="229"/>
      <c r="CF1023" s="229"/>
      <c r="CG1023" s="229"/>
      <c r="CH1023" s="229"/>
      <c r="CI1023" s="229"/>
      <c r="CJ1023" s="229"/>
      <c r="CK1023" s="229"/>
      <c r="CL1023" s="229"/>
      <c r="CM1023" s="229"/>
      <c r="CN1023" s="229"/>
      <c r="CO1023" s="229"/>
      <c r="CP1023" s="229"/>
      <c r="CQ1023" s="229"/>
      <c r="CR1023" s="229"/>
      <c r="CS1023" s="229"/>
      <c r="CT1023" s="229"/>
      <c r="CU1023" s="229"/>
      <c r="CV1023" s="229"/>
      <c r="CW1023" s="229"/>
    </row>
    <row r="1024" ht="15.75" hidden="1" customHeight="1">
      <c r="CD1024" s="229"/>
      <c r="CE1024" s="229"/>
      <c r="CF1024" s="229"/>
      <c r="CG1024" s="229"/>
      <c r="CH1024" s="229"/>
      <c r="CI1024" s="229"/>
      <c r="CJ1024" s="229"/>
      <c r="CK1024" s="229"/>
      <c r="CL1024" s="229"/>
      <c r="CM1024" s="229"/>
      <c r="CN1024" s="229"/>
      <c r="CO1024" s="229"/>
      <c r="CP1024" s="229"/>
      <c r="CQ1024" s="229"/>
      <c r="CR1024" s="229"/>
      <c r="CS1024" s="229"/>
      <c r="CT1024" s="229"/>
      <c r="CU1024" s="229"/>
      <c r="CV1024" s="229"/>
      <c r="CW1024" s="229"/>
    </row>
    <row r="1025" ht="15.75" hidden="1" customHeight="1">
      <c r="CD1025" s="229"/>
      <c r="CE1025" s="229"/>
      <c r="CF1025" s="229"/>
      <c r="CG1025" s="229"/>
      <c r="CH1025" s="229"/>
      <c r="CI1025" s="229"/>
      <c r="CJ1025" s="229"/>
      <c r="CK1025" s="229"/>
      <c r="CL1025" s="229"/>
      <c r="CM1025" s="229"/>
      <c r="CN1025" s="229"/>
      <c r="CO1025" s="229"/>
      <c r="CP1025" s="229"/>
      <c r="CQ1025" s="229"/>
      <c r="CR1025" s="229"/>
      <c r="CS1025" s="229"/>
      <c r="CT1025" s="229"/>
      <c r="CU1025" s="229"/>
      <c r="CV1025" s="229"/>
      <c r="CW1025" s="229"/>
    </row>
    <row r="1026" ht="15.75" hidden="1" customHeight="1">
      <c r="CD1026" s="229"/>
      <c r="CE1026" s="229"/>
      <c r="CF1026" s="229"/>
      <c r="CG1026" s="229"/>
      <c r="CH1026" s="229"/>
      <c r="CI1026" s="229"/>
      <c r="CJ1026" s="229"/>
      <c r="CK1026" s="229"/>
      <c r="CL1026" s="229"/>
      <c r="CM1026" s="229"/>
      <c r="CN1026" s="229"/>
      <c r="CO1026" s="229"/>
      <c r="CP1026" s="229"/>
      <c r="CQ1026" s="229"/>
      <c r="CR1026" s="229"/>
      <c r="CS1026" s="229"/>
      <c r="CT1026" s="229"/>
      <c r="CU1026" s="229"/>
      <c r="CV1026" s="229"/>
      <c r="CW1026" s="229"/>
    </row>
    <row r="1027" ht="15.75" hidden="1" customHeight="1">
      <c r="CD1027" s="229"/>
      <c r="CE1027" s="229"/>
      <c r="CF1027" s="229"/>
      <c r="CG1027" s="229"/>
      <c r="CH1027" s="229"/>
      <c r="CI1027" s="229"/>
      <c r="CJ1027" s="229"/>
      <c r="CK1027" s="229"/>
      <c r="CL1027" s="229"/>
      <c r="CM1027" s="229"/>
      <c r="CN1027" s="229"/>
      <c r="CO1027" s="229"/>
      <c r="CP1027" s="229"/>
      <c r="CQ1027" s="229"/>
      <c r="CR1027" s="229"/>
      <c r="CS1027" s="229"/>
      <c r="CT1027" s="229"/>
      <c r="CU1027" s="229"/>
      <c r="CV1027" s="229"/>
      <c r="CW1027" s="229"/>
    </row>
    <row r="1028" ht="15.75" hidden="1" customHeight="1">
      <c r="CD1028" s="229"/>
      <c r="CE1028" s="229"/>
      <c r="CF1028" s="229"/>
      <c r="CG1028" s="229"/>
      <c r="CH1028" s="229"/>
      <c r="CI1028" s="229"/>
      <c r="CJ1028" s="229"/>
      <c r="CK1028" s="229"/>
      <c r="CL1028" s="229"/>
      <c r="CM1028" s="229"/>
      <c r="CN1028" s="229"/>
      <c r="CO1028" s="229"/>
      <c r="CP1028" s="229"/>
      <c r="CQ1028" s="229"/>
      <c r="CR1028" s="229"/>
      <c r="CS1028" s="229"/>
      <c r="CT1028" s="229"/>
      <c r="CU1028" s="229"/>
      <c r="CV1028" s="229"/>
      <c r="CW1028" s="229"/>
    </row>
    <row r="1029" ht="15.75" hidden="1" customHeight="1">
      <c r="CD1029" s="229"/>
      <c r="CE1029" s="229"/>
      <c r="CF1029" s="229"/>
      <c r="CG1029" s="229"/>
      <c r="CH1029" s="229"/>
      <c r="CI1029" s="229"/>
      <c r="CJ1029" s="229"/>
      <c r="CK1029" s="229"/>
      <c r="CL1029" s="229"/>
      <c r="CM1029" s="229"/>
      <c r="CN1029" s="229"/>
      <c r="CO1029" s="229"/>
      <c r="CP1029" s="229"/>
      <c r="CQ1029" s="229"/>
      <c r="CR1029" s="229"/>
      <c r="CS1029" s="229"/>
      <c r="CT1029" s="229"/>
      <c r="CU1029" s="229"/>
      <c r="CV1029" s="229"/>
      <c r="CW1029" s="229"/>
    </row>
    <row r="1030" ht="15.75" hidden="1" customHeight="1">
      <c r="CD1030" s="229"/>
      <c r="CE1030" s="229"/>
      <c r="CF1030" s="229"/>
      <c r="CG1030" s="229"/>
      <c r="CH1030" s="229"/>
      <c r="CI1030" s="229"/>
      <c r="CJ1030" s="229"/>
      <c r="CK1030" s="229"/>
      <c r="CL1030" s="229"/>
      <c r="CM1030" s="229"/>
      <c r="CN1030" s="229"/>
      <c r="CO1030" s="229"/>
      <c r="CP1030" s="229"/>
      <c r="CQ1030" s="229"/>
      <c r="CR1030" s="229"/>
      <c r="CS1030" s="229"/>
      <c r="CT1030" s="229"/>
      <c r="CU1030" s="229"/>
      <c r="CV1030" s="229"/>
      <c r="CW1030" s="229"/>
    </row>
    <row r="1031" ht="15.75" hidden="1" customHeight="1">
      <c r="CD1031" s="229"/>
      <c r="CE1031" s="229"/>
      <c r="CF1031" s="229"/>
      <c r="CG1031" s="229"/>
      <c r="CH1031" s="229"/>
      <c r="CI1031" s="229"/>
      <c r="CJ1031" s="229"/>
      <c r="CK1031" s="229"/>
      <c r="CL1031" s="229"/>
      <c r="CM1031" s="229"/>
      <c r="CN1031" s="229"/>
      <c r="CO1031" s="229"/>
      <c r="CP1031" s="229"/>
      <c r="CQ1031" s="229"/>
      <c r="CR1031" s="229"/>
      <c r="CS1031" s="229"/>
      <c r="CT1031" s="229"/>
      <c r="CU1031" s="229"/>
      <c r="CV1031" s="229"/>
      <c r="CW1031" s="229"/>
    </row>
    <row r="1032" ht="15.75" hidden="1" customHeight="1">
      <c r="CD1032" s="229"/>
      <c r="CE1032" s="229"/>
      <c r="CF1032" s="229"/>
      <c r="CG1032" s="229"/>
      <c r="CH1032" s="229"/>
      <c r="CI1032" s="229"/>
      <c r="CJ1032" s="229"/>
      <c r="CK1032" s="229"/>
      <c r="CL1032" s="229"/>
      <c r="CM1032" s="229"/>
      <c r="CN1032" s="229"/>
      <c r="CO1032" s="229"/>
      <c r="CP1032" s="229"/>
      <c r="CQ1032" s="229"/>
      <c r="CR1032" s="229"/>
      <c r="CS1032" s="229"/>
      <c r="CT1032" s="229"/>
      <c r="CU1032" s="229"/>
      <c r="CV1032" s="229"/>
      <c r="CW1032" s="229"/>
    </row>
    <row r="1033" ht="15.75" hidden="1" customHeight="1">
      <c r="CD1033" s="229"/>
      <c r="CE1033" s="229"/>
      <c r="CF1033" s="229"/>
      <c r="CG1033" s="229"/>
      <c r="CH1033" s="229"/>
      <c r="CI1033" s="229"/>
      <c r="CJ1033" s="229"/>
      <c r="CK1033" s="229"/>
      <c r="CL1033" s="229"/>
      <c r="CM1033" s="229"/>
      <c r="CN1033" s="229"/>
      <c r="CO1033" s="229"/>
      <c r="CP1033" s="229"/>
      <c r="CQ1033" s="229"/>
      <c r="CR1033" s="229"/>
      <c r="CS1033" s="229"/>
      <c r="CT1033" s="229"/>
      <c r="CU1033" s="229"/>
      <c r="CV1033" s="229"/>
      <c r="CW1033" s="229"/>
    </row>
    <row r="1034" ht="15.75" hidden="1" customHeight="1">
      <c r="CD1034" s="229"/>
      <c r="CE1034" s="229"/>
      <c r="CF1034" s="229"/>
      <c r="CG1034" s="229"/>
      <c r="CH1034" s="229"/>
      <c r="CI1034" s="229"/>
      <c r="CJ1034" s="229"/>
      <c r="CK1034" s="229"/>
      <c r="CL1034" s="229"/>
      <c r="CM1034" s="229"/>
      <c r="CN1034" s="229"/>
      <c r="CO1034" s="229"/>
      <c r="CP1034" s="229"/>
      <c r="CQ1034" s="229"/>
      <c r="CR1034" s="229"/>
      <c r="CS1034" s="229"/>
      <c r="CT1034" s="229"/>
      <c r="CU1034" s="229"/>
      <c r="CV1034" s="229"/>
      <c r="CW1034" s="229"/>
    </row>
    <row r="1035" ht="15.75" hidden="1" customHeight="1">
      <c r="CD1035" s="229"/>
      <c r="CE1035" s="229"/>
      <c r="CF1035" s="229"/>
      <c r="CG1035" s="229"/>
      <c r="CH1035" s="229"/>
      <c r="CI1035" s="229"/>
      <c r="CJ1035" s="229"/>
      <c r="CK1035" s="229"/>
      <c r="CL1035" s="229"/>
      <c r="CM1035" s="229"/>
      <c r="CN1035" s="229"/>
      <c r="CO1035" s="229"/>
      <c r="CP1035" s="229"/>
      <c r="CQ1035" s="229"/>
      <c r="CR1035" s="229"/>
      <c r="CS1035" s="229"/>
      <c r="CT1035" s="229"/>
      <c r="CU1035" s="229"/>
      <c r="CV1035" s="229"/>
      <c r="CW1035" s="229"/>
    </row>
    <row r="1036" ht="15.75" hidden="1" customHeight="1">
      <c r="CD1036" s="229"/>
      <c r="CE1036" s="229"/>
      <c r="CF1036" s="229"/>
      <c r="CG1036" s="229"/>
      <c r="CH1036" s="229"/>
      <c r="CI1036" s="229"/>
      <c r="CJ1036" s="229"/>
      <c r="CK1036" s="229"/>
      <c r="CL1036" s="229"/>
      <c r="CM1036" s="229"/>
      <c r="CN1036" s="229"/>
      <c r="CO1036" s="229"/>
      <c r="CP1036" s="229"/>
      <c r="CQ1036" s="229"/>
      <c r="CR1036" s="229"/>
      <c r="CS1036" s="229"/>
      <c r="CT1036" s="229"/>
      <c r="CU1036" s="229"/>
      <c r="CV1036" s="229"/>
      <c r="CW1036" s="229"/>
    </row>
    <row r="1037" ht="15.75" hidden="1" customHeight="1">
      <c r="CD1037" s="229"/>
      <c r="CE1037" s="229"/>
      <c r="CF1037" s="229"/>
      <c r="CG1037" s="229"/>
      <c r="CH1037" s="229"/>
      <c r="CI1037" s="229"/>
      <c r="CJ1037" s="229"/>
      <c r="CK1037" s="229"/>
      <c r="CL1037" s="229"/>
      <c r="CM1037" s="229"/>
      <c r="CN1037" s="229"/>
      <c r="CO1037" s="229"/>
      <c r="CP1037" s="229"/>
      <c r="CQ1037" s="229"/>
      <c r="CR1037" s="229"/>
      <c r="CS1037" s="229"/>
      <c r="CT1037" s="229"/>
      <c r="CU1037" s="229"/>
      <c r="CV1037" s="229"/>
      <c r="CW1037" s="229"/>
    </row>
    <row r="1038" ht="15.75" hidden="1" customHeight="1">
      <c r="CD1038" s="229"/>
      <c r="CE1038" s="229"/>
      <c r="CF1038" s="229"/>
      <c r="CG1038" s="229"/>
      <c r="CH1038" s="229"/>
      <c r="CI1038" s="229"/>
      <c r="CJ1038" s="229"/>
      <c r="CK1038" s="229"/>
      <c r="CL1038" s="229"/>
      <c r="CM1038" s="229"/>
      <c r="CN1038" s="229"/>
      <c r="CO1038" s="229"/>
      <c r="CP1038" s="229"/>
      <c r="CQ1038" s="229"/>
      <c r="CR1038" s="229"/>
      <c r="CS1038" s="229"/>
      <c r="CT1038" s="229"/>
      <c r="CU1038" s="229"/>
      <c r="CV1038" s="229"/>
      <c r="CW1038" s="229"/>
    </row>
    <row r="1039" ht="15.75" hidden="1" customHeight="1">
      <c r="CD1039" s="229"/>
      <c r="CE1039" s="229"/>
      <c r="CF1039" s="229"/>
      <c r="CG1039" s="229"/>
      <c r="CH1039" s="229"/>
      <c r="CI1039" s="229"/>
      <c r="CJ1039" s="229"/>
      <c r="CK1039" s="229"/>
      <c r="CL1039" s="229"/>
      <c r="CM1039" s="229"/>
      <c r="CN1039" s="229"/>
      <c r="CO1039" s="229"/>
      <c r="CP1039" s="229"/>
      <c r="CQ1039" s="229"/>
      <c r="CR1039" s="229"/>
      <c r="CS1039" s="229"/>
      <c r="CT1039" s="229"/>
      <c r="CU1039" s="229"/>
      <c r="CV1039" s="229"/>
      <c r="CW1039" s="229"/>
    </row>
    <row r="1040" ht="15.75" hidden="1" customHeight="1">
      <c r="CD1040" s="229"/>
      <c r="CE1040" s="229"/>
      <c r="CF1040" s="229"/>
      <c r="CG1040" s="229"/>
      <c r="CH1040" s="229"/>
      <c r="CI1040" s="229"/>
      <c r="CJ1040" s="229"/>
      <c r="CK1040" s="229"/>
      <c r="CL1040" s="229"/>
      <c r="CM1040" s="229"/>
      <c r="CN1040" s="229"/>
      <c r="CO1040" s="229"/>
      <c r="CP1040" s="229"/>
      <c r="CQ1040" s="229"/>
      <c r="CR1040" s="229"/>
      <c r="CS1040" s="229"/>
      <c r="CT1040" s="229"/>
      <c r="CU1040" s="229"/>
      <c r="CV1040" s="229"/>
      <c r="CW1040" s="229"/>
    </row>
    <row r="1041" ht="15.75" hidden="1" customHeight="1">
      <c r="CD1041" s="229"/>
      <c r="CE1041" s="229"/>
      <c r="CF1041" s="229"/>
      <c r="CG1041" s="229"/>
      <c r="CH1041" s="229"/>
      <c r="CI1041" s="229"/>
      <c r="CJ1041" s="229"/>
      <c r="CK1041" s="229"/>
      <c r="CL1041" s="229"/>
      <c r="CM1041" s="229"/>
      <c r="CN1041" s="229"/>
      <c r="CO1041" s="229"/>
      <c r="CP1041" s="229"/>
      <c r="CQ1041" s="229"/>
      <c r="CR1041" s="229"/>
      <c r="CS1041" s="229"/>
      <c r="CT1041" s="229"/>
      <c r="CU1041" s="229"/>
      <c r="CV1041" s="229"/>
      <c r="CW1041" s="229"/>
    </row>
    <row r="1042" ht="15.75" hidden="1" customHeight="1">
      <c r="CD1042" s="229"/>
      <c r="CE1042" s="229"/>
      <c r="CF1042" s="229"/>
      <c r="CG1042" s="229"/>
      <c r="CH1042" s="229"/>
      <c r="CI1042" s="229"/>
      <c r="CJ1042" s="229"/>
      <c r="CK1042" s="229"/>
      <c r="CL1042" s="229"/>
      <c r="CM1042" s="229"/>
      <c r="CN1042" s="229"/>
      <c r="CO1042" s="229"/>
      <c r="CP1042" s="229"/>
      <c r="CQ1042" s="229"/>
      <c r="CR1042" s="229"/>
      <c r="CS1042" s="229"/>
      <c r="CT1042" s="229"/>
      <c r="CU1042" s="229"/>
      <c r="CV1042" s="229"/>
      <c r="CW1042" s="229"/>
    </row>
  </sheetData>
  <mergeCells count="752">
    <mergeCell ref="BT1:BX2"/>
    <mergeCell ref="CD1:CH2"/>
    <mergeCell ref="CN1:CR2"/>
    <mergeCell ref="A1:G2"/>
    <mergeCell ref="L1:P2"/>
    <mergeCell ref="V1:Z2"/>
    <mergeCell ref="AF1:AJ2"/>
    <mergeCell ref="AP1:AT2"/>
    <mergeCell ref="AZ1:BD2"/>
    <mergeCell ref="BJ1:BN2"/>
    <mergeCell ref="W84:X84"/>
    <mergeCell ref="Y84:Z84"/>
    <mergeCell ref="AA84:AC84"/>
    <mergeCell ref="AG84:AH84"/>
    <mergeCell ref="AI84:AJ84"/>
    <mergeCell ref="AK84:AM84"/>
    <mergeCell ref="AQ84:AR84"/>
    <mergeCell ref="AS84:AT84"/>
    <mergeCell ref="AU84:AW84"/>
    <mergeCell ref="BA84:BB84"/>
    <mergeCell ref="BC84:BD84"/>
    <mergeCell ref="BE84:BG84"/>
    <mergeCell ref="BK84:BL84"/>
    <mergeCell ref="BM84:BN84"/>
    <mergeCell ref="CO84:CP84"/>
    <mergeCell ref="CQ84:CR84"/>
    <mergeCell ref="CS84:CU84"/>
    <mergeCell ref="BO84:BQ84"/>
    <mergeCell ref="BU84:BV84"/>
    <mergeCell ref="BW84:BX84"/>
    <mergeCell ref="BY84:CA84"/>
    <mergeCell ref="CE84:CF84"/>
    <mergeCell ref="CG84:CH84"/>
    <mergeCell ref="CI84:CK84"/>
    <mergeCell ref="F5:G5"/>
    <mergeCell ref="C84:D84"/>
    <mergeCell ref="E84:F84"/>
    <mergeCell ref="G84:H84"/>
    <mergeCell ref="M84:N84"/>
    <mergeCell ref="O84:P84"/>
    <mergeCell ref="Q84:S84"/>
    <mergeCell ref="Y85:Z85"/>
    <mergeCell ref="AA85:AC85"/>
    <mergeCell ref="AG85:AH85"/>
    <mergeCell ref="AI85:AJ85"/>
    <mergeCell ref="AK85:AM85"/>
    <mergeCell ref="AQ85:AR85"/>
    <mergeCell ref="AS85:AT85"/>
    <mergeCell ref="AU85:AW85"/>
    <mergeCell ref="BA85:BB85"/>
    <mergeCell ref="BC85:BD85"/>
    <mergeCell ref="BE85:BG85"/>
    <mergeCell ref="BK85:BL85"/>
    <mergeCell ref="BM85:BN85"/>
    <mergeCell ref="BO85:BQ85"/>
    <mergeCell ref="CQ85:CR85"/>
    <mergeCell ref="CS85:CU85"/>
    <mergeCell ref="BU85:BV85"/>
    <mergeCell ref="BW85:BX85"/>
    <mergeCell ref="BY85:CA85"/>
    <mergeCell ref="CE85:CF85"/>
    <mergeCell ref="CG85:CH85"/>
    <mergeCell ref="CI85:CK85"/>
    <mergeCell ref="CO85:CP85"/>
    <mergeCell ref="C85:D85"/>
    <mergeCell ref="E85:F85"/>
    <mergeCell ref="G85:H85"/>
    <mergeCell ref="M85:N85"/>
    <mergeCell ref="O85:P85"/>
    <mergeCell ref="Q85:S85"/>
    <mergeCell ref="W85:X85"/>
    <mergeCell ref="C86:D86"/>
    <mergeCell ref="E86:F86"/>
    <mergeCell ref="G86:H86"/>
    <mergeCell ref="M86:N86"/>
    <mergeCell ref="O86:P86"/>
    <mergeCell ref="Q86:S86"/>
    <mergeCell ref="W86:X86"/>
    <mergeCell ref="CQ86:CR86"/>
    <mergeCell ref="CS86:CU86"/>
    <mergeCell ref="BU86:BV86"/>
    <mergeCell ref="BW86:BX86"/>
    <mergeCell ref="BY86:CA86"/>
    <mergeCell ref="CE86:CF86"/>
    <mergeCell ref="CG86:CH86"/>
    <mergeCell ref="CI86:CK86"/>
    <mergeCell ref="CO86:CP86"/>
    <mergeCell ref="AU86:AW86"/>
    <mergeCell ref="BA86:BB86"/>
    <mergeCell ref="BC86:BD86"/>
    <mergeCell ref="BE86:BG86"/>
    <mergeCell ref="BK86:BL86"/>
    <mergeCell ref="BM86:BN86"/>
    <mergeCell ref="BO86:BQ86"/>
    <mergeCell ref="Y86:Z86"/>
    <mergeCell ref="AA86:AC86"/>
    <mergeCell ref="AG86:AH86"/>
    <mergeCell ref="AI86:AJ86"/>
    <mergeCell ref="AK86:AM86"/>
    <mergeCell ref="AQ86:AR86"/>
    <mergeCell ref="AS86:AT86"/>
    <mergeCell ref="Y87:Z87"/>
    <mergeCell ref="AA87:AC87"/>
    <mergeCell ref="AG87:AH87"/>
    <mergeCell ref="AI87:AJ87"/>
    <mergeCell ref="AK87:AM87"/>
    <mergeCell ref="AQ87:AR87"/>
    <mergeCell ref="AS87:AT87"/>
    <mergeCell ref="AU87:AW87"/>
    <mergeCell ref="BA87:BB87"/>
    <mergeCell ref="BC87:BD87"/>
    <mergeCell ref="BE87:BG87"/>
    <mergeCell ref="BK87:BL87"/>
    <mergeCell ref="BM87:BN87"/>
    <mergeCell ref="BO87:BQ87"/>
    <mergeCell ref="CQ87:CR87"/>
    <mergeCell ref="CS87:CU87"/>
    <mergeCell ref="BU87:BV87"/>
    <mergeCell ref="BW87:BX87"/>
    <mergeCell ref="BY87:CA87"/>
    <mergeCell ref="CE87:CF87"/>
    <mergeCell ref="CG87:CH87"/>
    <mergeCell ref="CI87:CK87"/>
    <mergeCell ref="CO87:CP87"/>
    <mergeCell ref="C87:D87"/>
    <mergeCell ref="E87:F87"/>
    <mergeCell ref="G87:H87"/>
    <mergeCell ref="M87:N87"/>
    <mergeCell ref="O87:P87"/>
    <mergeCell ref="Q87:S87"/>
    <mergeCell ref="W87:X87"/>
    <mergeCell ref="Y88:Z88"/>
    <mergeCell ref="AA88:AC88"/>
    <mergeCell ref="AG88:AH88"/>
    <mergeCell ref="AI88:AJ88"/>
    <mergeCell ref="AK88:AM88"/>
    <mergeCell ref="AQ88:AR88"/>
    <mergeCell ref="AS88:AT88"/>
    <mergeCell ref="AU88:AW88"/>
    <mergeCell ref="BA88:BB88"/>
    <mergeCell ref="BC88:BD88"/>
    <mergeCell ref="BE88:BG88"/>
    <mergeCell ref="BK88:BL88"/>
    <mergeCell ref="BM88:BN88"/>
    <mergeCell ref="BO88:BQ88"/>
    <mergeCell ref="CQ88:CR88"/>
    <mergeCell ref="CS88:CU88"/>
    <mergeCell ref="BU88:BV88"/>
    <mergeCell ref="BW88:BX88"/>
    <mergeCell ref="BY88:CA88"/>
    <mergeCell ref="CE88:CF88"/>
    <mergeCell ref="CG88:CH88"/>
    <mergeCell ref="CI88:CK88"/>
    <mergeCell ref="CO88:CP88"/>
    <mergeCell ref="C88:D88"/>
    <mergeCell ref="E88:F88"/>
    <mergeCell ref="G88:H88"/>
    <mergeCell ref="M88:N88"/>
    <mergeCell ref="O88:P88"/>
    <mergeCell ref="Q88:S88"/>
    <mergeCell ref="W88:X88"/>
    <mergeCell ref="C89:D89"/>
    <mergeCell ref="E89:F89"/>
    <mergeCell ref="G89:H89"/>
    <mergeCell ref="M89:N89"/>
    <mergeCell ref="O89:P89"/>
    <mergeCell ref="Q89:S89"/>
    <mergeCell ref="W89:X89"/>
    <mergeCell ref="CQ89:CR89"/>
    <mergeCell ref="CS89:CU89"/>
    <mergeCell ref="BU89:BV89"/>
    <mergeCell ref="BW89:BX89"/>
    <mergeCell ref="BY89:CA89"/>
    <mergeCell ref="CE89:CF89"/>
    <mergeCell ref="CG89:CH89"/>
    <mergeCell ref="CI89:CK89"/>
    <mergeCell ref="CO89:CP89"/>
    <mergeCell ref="AU89:AW89"/>
    <mergeCell ref="BA89:BB89"/>
    <mergeCell ref="BC89:BD89"/>
    <mergeCell ref="BE89:BG89"/>
    <mergeCell ref="BK89:BL89"/>
    <mergeCell ref="BM89:BN89"/>
    <mergeCell ref="BO89:BQ89"/>
    <mergeCell ref="Y89:Z89"/>
    <mergeCell ref="AA89:AC89"/>
    <mergeCell ref="AG89:AH89"/>
    <mergeCell ref="AI89:AJ89"/>
    <mergeCell ref="AK89:AM89"/>
    <mergeCell ref="AQ89:AR89"/>
    <mergeCell ref="AS89:AT89"/>
    <mergeCell ref="Y90:Z90"/>
    <mergeCell ref="AA90:AC90"/>
    <mergeCell ref="AG90:AH90"/>
    <mergeCell ref="AI90:AJ90"/>
    <mergeCell ref="AK90:AM90"/>
    <mergeCell ref="AQ90:AR90"/>
    <mergeCell ref="AS90:AT90"/>
    <mergeCell ref="AU90:AW90"/>
    <mergeCell ref="BA90:BB90"/>
    <mergeCell ref="BC90:BD90"/>
    <mergeCell ref="BE90:BG90"/>
    <mergeCell ref="BK90:BL90"/>
    <mergeCell ref="BM90:BN90"/>
    <mergeCell ref="BO90:BQ90"/>
    <mergeCell ref="CQ90:CR90"/>
    <mergeCell ref="CS90:CU90"/>
    <mergeCell ref="BU90:BV90"/>
    <mergeCell ref="BW90:BX90"/>
    <mergeCell ref="BY90:CA90"/>
    <mergeCell ref="CE90:CF90"/>
    <mergeCell ref="CG90:CH90"/>
    <mergeCell ref="CI90:CK90"/>
    <mergeCell ref="CO90:CP90"/>
    <mergeCell ref="C90:D90"/>
    <mergeCell ref="E90:F90"/>
    <mergeCell ref="G90:H90"/>
    <mergeCell ref="M90:N90"/>
    <mergeCell ref="O90:P90"/>
    <mergeCell ref="Q90:S90"/>
    <mergeCell ref="W90:X90"/>
    <mergeCell ref="Y91:Z91"/>
    <mergeCell ref="AA91:AC91"/>
    <mergeCell ref="AG91:AH91"/>
    <mergeCell ref="AI91:AJ91"/>
    <mergeCell ref="AK91:AM91"/>
    <mergeCell ref="AQ91:AR91"/>
    <mergeCell ref="AS91:AT91"/>
    <mergeCell ref="AU91:AW91"/>
    <mergeCell ref="BA91:BB91"/>
    <mergeCell ref="BC91:BD91"/>
    <mergeCell ref="BE91:BG91"/>
    <mergeCell ref="BK91:BL91"/>
    <mergeCell ref="BM91:BN91"/>
    <mergeCell ref="BO91:BQ91"/>
    <mergeCell ref="CQ91:CR91"/>
    <mergeCell ref="CS91:CU91"/>
    <mergeCell ref="BU91:BV91"/>
    <mergeCell ref="BW91:BX91"/>
    <mergeCell ref="BY91:CA91"/>
    <mergeCell ref="CE91:CF91"/>
    <mergeCell ref="CG91:CH91"/>
    <mergeCell ref="CI91:CK91"/>
    <mergeCell ref="CO91:CP91"/>
    <mergeCell ref="C91:D91"/>
    <mergeCell ref="E91:F91"/>
    <mergeCell ref="G91:H91"/>
    <mergeCell ref="M91:N91"/>
    <mergeCell ref="O91:P91"/>
    <mergeCell ref="Q91:S91"/>
    <mergeCell ref="W91:X91"/>
    <mergeCell ref="C92:D92"/>
    <mergeCell ref="E92:F92"/>
    <mergeCell ref="G92:H92"/>
    <mergeCell ref="M92:N92"/>
    <mergeCell ref="O92:P92"/>
    <mergeCell ref="Q92:S92"/>
    <mergeCell ref="W92:X92"/>
    <mergeCell ref="CQ92:CR92"/>
    <mergeCell ref="CS92:CU92"/>
    <mergeCell ref="BU92:BV92"/>
    <mergeCell ref="BW92:BX92"/>
    <mergeCell ref="BY92:CA92"/>
    <mergeCell ref="CE92:CF92"/>
    <mergeCell ref="CG92:CH92"/>
    <mergeCell ref="CI92:CK92"/>
    <mergeCell ref="CO92:CP92"/>
    <mergeCell ref="AU92:AW92"/>
    <mergeCell ref="BA92:BB92"/>
    <mergeCell ref="BC92:BD92"/>
    <mergeCell ref="BE92:BG92"/>
    <mergeCell ref="BK92:BL92"/>
    <mergeCell ref="BM92:BN92"/>
    <mergeCell ref="BO92:BQ92"/>
    <mergeCell ref="Y92:Z92"/>
    <mergeCell ref="AA92:AC92"/>
    <mergeCell ref="AG92:AH92"/>
    <mergeCell ref="AI92:AJ92"/>
    <mergeCell ref="AK92:AM92"/>
    <mergeCell ref="AQ92:AR92"/>
    <mergeCell ref="AS92:AT92"/>
    <mergeCell ref="Y93:Z93"/>
    <mergeCell ref="AA93:AC93"/>
    <mergeCell ref="AG93:AH93"/>
    <mergeCell ref="AI93:AJ93"/>
    <mergeCell ref="AK93:AM93"/>
    <mergeCell ref="AQ93:AR93"/>
    <mergeCell ref="AS93:AT93"/>
    <mergeCell ref="AU93:AW93"/>
    <mergeCell ref="BA93:BB93"/>
    <mergeCell ref="BC93:BD93"/>
    <mergeCell ref="BE93:BG93"/>
    <mergeCell ref="BK93:BL93"/>
    <mergeCell ref="BM93:BN93"/>
    <mergeCell ref="BO93:BQ93"/>
    <mergeCell ref="CQ93:CR93"/>
    <mergeCell ref="CS93:CU93"/>
    <mergeCell ref="BU93:BV93"/>
    <mergeCell ref="BW93:BX93"/>
    <mergeCell ref="BY93:CA93"/>
    <mergeCell ref="CE93:CF93"/>
    <mergeCell ref="CG93:CH93"/>
    <mergeCell ref="CI93:CK93"/>
    <mergeCell ref="CO93:CP93"/>
    <mergeCell ref="C93:D93"/>
    <mergeCell ref="E93:F93"/>
    <mergeCell ref="G93:H93"/>
    <mergeCell ref="M93:N93"/>
    <mergeCell ref="O93:P93"/>
    <mergeCell ref="Q93:S93"/>
    <mergeCell ref="W93:X93"/>
    <mergeCell ref="CG364:CH364"/>
    <mergeCell ref="CI364:CK364"/>
    <mergeCell ref="CF404:CK404"/>
    <mergeCell ref="CL404:CM405"/>
    <mergeCell ref="CF405:CK405"/>
    <mergeCell ref="CD406:CH407"/>
    <mergeCell ref="CE362:CF362"/>
    <mergeCell ref="CG362:CH362"/>
    <mergeCell ref="CI362:CK362"/>
    <mergeCell ref="CE363:CF363"/>
    <mergeCell ref="CG363:CH363"/>
    <mergeCell ref="CI363:CK363"/>
    <mergeCell ref="CE364:CF364"/>
    <mergeCell ref="CE365:CF365"/>
    <mergeCell ref="CG365:CH365"/>
    <mergeCell ref="CI365:CK365"/>
    <mergeCell ref="CE366:CF366"/>
    <mergeCell ref="CG366:CH366"/>
    <mergeCell ref="CI366:CK366"/>
    <mergeCell ref="CI367:CK367"/>
    <mergeCell ref="CG490:CH490"/>
    <mergeCell ref="CI490:CK490"/>
    <mergeCell ref="CE367:CH367"/>
    <mergeCell ref="CF370:CG370"/>
    <mergeCell ref="CI370:CJ370"/>
    <mergeCell ref="CE489:CF489"/>
    <mergeCell ref="CG489:CH489"/>
    <mergeCell ref="CI489:CK489"/>
    <mergeCell ref="CE490:CF490"/>
    <mergeCell ref="CG493:CH493"/>
    <mergeCell ref="CI493:CK493"/>
    <mergeCell ref="CE491:CF491"/>
    <mergeCell ref="CG491:CH491"/>
    <mergeCell ref="CI491:CK491"/>
    <mergeCell ref="CE492:CF492"/>
    <mergeCell ref="CG492:CH492"/>
    <mergeCell ref="CI492:CK492"/>
    <mergeCell ref="CE493:CF493"/>
    <mergeCell ref="CG496:CH496"/>
    <mergeCell ref="CI496:CK496"/>
    <mergeCell ref="CE494:CF494"/>
    <mergeCell ref="CG494:CH494"/>
    <mergeCell ref="CI494:CK494"/>
    <mergeCell ref="CE495:CF495"/>
    <mergeCell ref="CG495:CH495"/>
    <mergeCell ref="CI495:CK495"/>
    <mergeCell ref="CE496:CF496"/>
    <mergeCell ref="CG499:CH499"/>
    <mergeCell ref="CI499:CK499"/>
    <mergeCell ref="CF539:CK539"/>
    <mergeCell ref="CL539:CM540"/>
    <mergeCell ref="CF540:CK540"/>
    <mergeCell ref="CD541:CH542"/>
    <mergeCell ref="CE497:CF497"/>
    <mergeCell ref="CG497:CH497"/>
    <mergeCell ref="CI497:CK497"/>
    <mergeCell ref="CE498:CF498"/>
    <mergeCell ref="CG498:CH498"/>
    <mergeCell ref="CI498:CK498"/>
    <mergeCell ref="CE499:CF499"/>
    <mergeCell ref="CE500:CF500"/>
    <mergeCell ref="CG500:CH500"/>
    <mergeCell ref="CI500:CK500"/>
    <mergeCell ref="CE501:CF501"/>
    <mergeCell ref="CG501:CH501"/>
    <mergeCell ref="CI501:CK501"/>
    <mergeCell ref="CI502:CK502"/>
    <mergeCell ref="CG625:CH625"/>
    <mergeCell ref="CI625:CK625"/>
    <mergeCell ref="CE502:CH502"/>
    <mergeCell ref="CF505:CG505"/>
    <mergeCell ref="CI505:CJ505"/>
    <mergeCell ref="CE624:CF624"/>
    <mergeCell ref="CG624:CH624"/>
    <mergeCell ref="CI624:CK624"/>
    <mergeCell ref="CE625:CF625"/>
    <mergeCell ref="CG631:CH631"/>
    <mergeCell ref="CI631:CK631"/>
    <mergeCell ref="CE629:CF629"/>
    <mergeCell ref="CG629:CH629"/>
    <mergeCell ref="CI629:CK629"/>
    <mergeCell ref="CE630:CF630"/>
    <mergeCell ref="CG630:CH630"/>
    <mergeCell ref="CI630:CK630"/>
    <mergeCell ref="CE631:CF631"/>
    <mergeCell ref="CG634:CH634"/>
    <mergeCell ref="CI634:CK634"/>
    <mergeCell ref="CF674:CK674"/>
    <mergeCell ref="CL674:CM675"/>
    <mergeCell ref="CF675:CK675"/>
    <mergeCell ref="CD676:CH677"/>
    <mergeCell ref="CE632:CF632"/>
    <mergeCell ref="CG632:CH632"/>
    <mergeCell ref="CI632:CK632"/>
    <mergeCell ref="CE633:CF633"/>
    <mergeCell ref="CG633:CH633"/>
    <mergeCell ref="CI633:CK633"/>
    <mergeCell ref="CE634:CF634"/>
    <mergeCell ref="CE635:CF635"/>
    <mergeCell ref="CG635:CH635"/>
    <mergeCell ref="CI635:CK635"/>
    <mergeCell ref="CE636:CF636"/>
    <mergeCell ref="CG636:CH636"/>
    <mergeCell ref="CI636:CK636"/>
    <mergeCell ref="CI637:CK637"/>
    <mergeCell ref="CG760:CH760"/>
    <mergeCell ref="CI760:CK760"/>
    <mergeCell ref="CE637:CH637"/>
    <mergeCell ref="CF640:CG640"/>
    <mergeCell ref="CI640:CJ640"/>
    <mergeCell ref="CE759:CF759"/>
    <mergeCell ref="CG759:CH759"/>
    <mergeCell ref="CI759:CK759"/>
    <mergeCell ref="CE760:CF760"/>
    <mergeCell ref="CG769:CH769"/>
    <mergeCell ref="CI769:CK769"/>
    <mergeCell ref="CF809:CK809"/>
    <mergeCell ref="CL809:CM810"/>
    <mergeCell ref="CF810:CK810"/>
    <mergeCell ref="CD811:CH812"/>
    <mergeCell ref="CE772:CH772"/>
    <mergeCell ref="CF775:CG775"/>
    <mergeCell ref="CI775:CJ775"/>
    <mergeCell ref="CE894:CF894"/>
    <mergeCell ref="CG894:CH894"/>
    <mergeCell ref="CI894:CK894"/>
    <mergeCell ref="CE895:CF895"/>
    <mergeCell ref="CG895:CH895"/>
    <mergeCell ref="CI895:CK895"/>
    <mergeCell ref="CE896:CF896"/>
    <mergeCell ref="CG896:CH896"/>
    <mergeCell ref="CI896:CK896"/>
    <mergeCell ref="CG897:CH897"/>
    <mergeCell ref="CI897:CK897"/>
    <mergeCell ref="CE897:CF897"/>
    <mergeCell ref="CE898:CF898"/>
    <mergeCell ref="CG898:CH898"/>
    <mergeCell ref="CI898:CK898"/>
    <mergeCell ref="CE899:CF899"/>
    <mergeCell ref="CG899:CH899"/>
    <mergeCell ref="CI899:CK899"/>
    <mergeCell ref="CG902:CH902"/>
    <mergeCell ref="CI902:CK902"/>
    <mergeCell ref="CE900:CF900"/>
    <mergeCell ref="CG900:CH900"/>
    <mergeCell ref="CI900:CK900"/>
    <mergeCell ref="CE901:CF901"/>
    <mergeCell ref="CG901:CH901"/>
    <mergeCell ref="CI901:CK901"/>
    <mergeCell ref="CE902:CF902"/>
    <mergeCell ref="CG905:CH905"/>
    <mergeCell ref="CI905:CK905"/>
    <mergeCell ref="CL944:CM945"/>
    <mergeCell ref="CF945:CK945"/>
    <mergeCell ref="CE903:CF903"/>
    <mergeCell ref="CG903:CH903"/>
    <mergeCell ref="CI903:CK903"/>
    <mergeCell ref="CE904:CF904"/>
    <mergeCell ref="CG904:CH904"/>
    <mergeCell ref="CI904:CK904"/>
    <mergeCell ref="CE905:CF905"/>
    <mergeCell ref="CG763:CH763"/>
    <mergeCell ref="CI763:CK763"/>
    <mergeCell ref="CE761:CF761"/>
    <mergeCell ref="CG761:CH761"/>
    <mergeCell ref="CI761:CK761"/>
    <mergeCell ref="CE762:CF762"/>
    <mergeCell ref="CG762:CH762"/>
    <mergeCell ref="CI762:CK762"/>
    <mergeCell ref="CE763:CF763"/>
    <mergeCell ref="CG766:CH766"/>
    <mergeCell ref="CI766:CK766"/>
    <mergeCell ref="CE764:CF764"/>
    <mergeCell ref="CG764:CH764"/>
    <mergeCell ref="CI764:CK764"/>
    <mergeCell ref="CE765:CF765"/>
    <mergeCell ref="CG765:CH765"/>
    <mergeCell ref="CI765:CK765"/>
    <mergeCell ref="CE766:CF766"/>
    <mergeCell ref="CE767:CF767"/>
    <mergeCell ref="CG767:CH767"/>
    <mergeCell ref="CI767:CK767"/>
    <mergeCell ref="CE768:CF768"/>
    <mergeCell ref="CG768:CH768"/>
    <mergeCell ref="CI768:CK768"/>
    <mergeCell ref="CE769:CF769"/>
    <mergeCell ref="CE770:CF770"/>
    <mergeCell ref="CG770:CH770"/>
    <mergeCell ref="CI770:CK770"/>
    <mergeCell ref="CE771:CF771"/>
    <mergeCell ref="CG771:CH771"/>
    <mergeCell ref="CI771:CK771"/>
    <mergeCell ref="CI772:CK772"/>
    <mergeCell ref="CE906:CF906"/>
    <mergeCell ref="CG906:CH906"/>
    <mergeCell ref="CI906:CK906"/>
    <mergeCell ref="CE907:CH907"/>
    <mergeCell ref="CI907:CK907"/>
    <mergeCell ref="CF910:CG910"/>
    <mergeCell ref="CI910:CJ910"/>
    <mergeCell ref="CF944:CK944"/>
    <mergeCell ref="Y94:Z94"/>
    <mergeCell ref="AA94:AC94"/>
    <mergeCell ref="AG94:AH94"/>
    <mergeCell ref="AI94:AJ94"/>
    <mergeCell ref="AK94:AM94"/>
    <mergeCell ref="AQ94:AR94"/>
    <mergeCell ref="AS94:AT94"/>
    <mergeCell ref="AU94:AW94"/>
    <mergeCell ref="BA94:BB94"/>
    <mergeCell ref="BC94:BD94"/>
    <mergeCell ref="BE94:BG94"/>
    <mergeCell ref="BK94:BL94"/>
    <mergeCell ref="BM94:BN94"/>
    <mergeCell ref="BO94:BQ94"/>
    <mergeCell ref="CQ94:CR94"/>
    <mergeCell ref="CS94:CU94"/>
    <mergeCell ref="BU94:BV94"/>
    <mergeCell ref="BW94:BX94"/>
    <mergeCell ref="BY94:CA94"/>
    <mergeCell ref="CE94:CF94"/>
    <mergeCell ref="CG94:CH94"/>
    <mergeCell ref="CI94:CK94"/>
    <mergeCell ref="CO94:CP94"/>
    <mergeCell ref="C94:D94"/>
    <mergeCell ref="E94:F94"/>
    <mergeCell ref="G94:H94"/>
    <mergeCell ref="M94:N94"/>
    <mergeCell ref="O94:P94"/>
    <mergeCell ref="Q94:S94"/>
    <mergeCell ref="W94:X94"/>
    <mergeCell ref="C95:D95"/>
    <mergeCell ref="E95:F95"/>
    <mergeCell ref="G95:H95"/>
    <mergeCell ref="M95:N95"/>
    <mergeCell ref="O95:P95"/>
    <mergeCell ref="Q95:S95"/>
    <mergeCell ref="W95:X95"/>
    <mergeCell ref="CQ95:CR95"/>
    <mergeCell ref="CS95:CU95"/>
    <mergeCell ref="BU95:BV95"/>
    <mergeCell ref="BW95:BX95"/>
    <mergeCell ref="BY95:CA95"/>
    <mergeCell ref="CE95:CF95"/>
    <mergeCell ref="CG95:CH95"/>
    <mergeCell ref="CI95:CK95"/>
    <mergeCell ref="CO95:CP95"/>
    <mergeCell ref="AU95:AW95"/>
    <mergeCell ref="BA95:BB95"/>
    <mergeCell ref="BC95:BD95"/>
    <mergeCell ref="BE95:BG95"/>
    <mergeCell ref="BK95:BL95"/>
    <mergeCell ref="BM95:BN95"/>
    <mergeCell ref="BO95:BQ95"/>
    <mergeCell ref="Y95:Z95"/>
    <mergeCell ref="AA95:AC95"/>
    <mergeCell ref="AG95:AH95"/>
    <mergeCell ref="AI95:AJ95"/>
    <mergeCell ref="AK95:AM95"/>
    <mergeCell ref="AQ95:AR95"/>
    <mergeCell ref="AS95:AT95"/>
    <mergeCell ref="Y96:Z96"/>
    <mergeCell ref="AA96:AC96"/>
    <mergeCell ref="AG96:AH96"/>
    <mergeCell ref="AI96:AJ96"/>
    <mergeCell ref="AK96:AM96"/>
    <mergeCell ref="AQ96:AR96"/>
    <mergeCell ref="AS96:AT96"/>
    <mergeCell ref="AU96:AW96"/>
    <mergeCell ref="BA96:BB96"/>
    <mergeCell ref="BC96:BD96"/>
    <mergeCell ref="BE96:BG96"/>
    <mergeCell ref="BK96:BL96"/>
    <mergeCell ref="BM96:BN96"/>
    <mergeCell ref="BO96:BQ96"/>
    <mergeCell ref="CQ96:CR96"/>
    <mergeCell ref="CS96:CU96"/>
    <mergeCell ref="BU96:BV96"/>
    <mergeCell ref="BW96:BX96"/>
    <mergeCell ref="BY96:CA96"/>
    <mergeCell ref="CE96:CF96"/>
    <mergeCell ref="CG96:CH96"/>
    <mergeCell ref="CI96:CK96"/>
    <mergeCell ref="CO96:CP96"/>
    <mergeCell ref="C96:D96"/>
    <mergeCell ref="E96:F96"/>
    <mergeCell ref="G96:H96"/>
    <mergeCell ref="M96:N96"/>
    <mergeCell ref="O96:P96"/>
    <mergeCell ref="Q96:S96"/>
    <mergeCell ref="W96:X96"/>
    <mergeCell ref="AH134:AM134"/>
    <mergeCell ref="AR134:AW134"/>
    <mergeCell ref="BB134:BG134"/>
    <mergeCell ref="B135:C135"/>
    <mergeCell ref="D135:J135"/>
    <mergeCell ref="X134:AC134"/>
    <mergeCell ref="X135:AC135"/>
    <mergeCell ref="AH135:AM135"/>
    <mergeCell ref="AR135:AW135"/>
    <mergeCell ref="BB135:BG135"/>
    <mergeCell ref="B134:C134"/>
    <mergeCell ref="D134:J134"/>
    <mergeCell ref="N134:S134"/>
    <mergeCell ref="T134:U135"/>
    <mergeCell ref="AD134:AE135"/>
    <mergeCell ref="AN134:AO135"/>
    <mergeCell ref="N135:S135"/>
    <mergeCell ref="CE97:CH97"/>
    <mergeCell ref="CI97:CK97"/>
    <mergeCell ref="CO97:CR97"/>
    <mergeCell ref="CS97:CU97"/>
    <mergeCell ref="AU97:AW97"/>
    <mergeCell ref="BA97:BD97"/>
    <mergeCell ref="BE97:BG97"/>
    <mergeCell ref="BK97:BN97"/>
    <mergeCell ref="BO97:BQ97"/>
    <mergeCell ref="BU97:BX97"/>
    <mergeCell ref="BY97:CA97"/>
    <mergeCell ref="M97:P97"/>
    <mergeCell ref="Q97:S97"/>
    <mergeCell ref="W97:Z97"/>
    <mergeCell ref="AA97:AC97"/>
    <mergeCell ref="AG97:AJ97"/>
    <mergeCell ref="AK97:AM97"/>
    <mergeCell ref="AQ97:AT97"/>
    <mergeCell ref="BV100:BW100"/>
    <mergeCell ref="BY100:BZ100"/>
    <mergeCell ref="CF100:CG100"/>
    <mergeCell ref="CI100:CJ100"/>
    <mergeCell ref="CP100:CQ100"/>
    <mergeCell ref="CS100:CT100"/>
    <mergeCell ref="AK100:AL100"/>
    <mergeCell ref="AR100:AS100"/>
    <mergeCell ref="AU100:AV100"/>
    <mergeCell ref="BB100:BC100"/>
    <mergeCell ref="BE100:BF100"/>
    <mergeCell ref="BL100:BM100"/>
    <mergeCell ref="BO100:BP100"/>
    <mergeCell ref="F100:G100"/>
    <mergeCell ref="I100:J100"/>
    <mergeCell ref="N100:O100"/>
    <mergeCell ref="Q100:R100"/>
    <mergeCell ref="X100:Y100"/>
    <mergeCell ref="AA100:AB100"/>
    <mergeCell ref="AH100:AI100"/>
    <mergeCell ref="BL134:BQ134"/>
    <mergeCell ref="BL135:BQ135"/>
    <mergeCell ref="CF134:CK134"/>
    <mergeCell ref="CP134:CU134"/>
    <mergeCell ref="AX134:AY135"/>
    <mergeCell ref="BH134:BI135"/>
    <mergeCell ref="BR134:BS135"/>
    <mergeCell ref="BV134:CA134"/>
    <mergeCell ref="CB134:CC135"/>
    <mergeCell ref="CL134:CM135"/>
    <mergeCell ref="CV134:CW135"/>
    <mergeCell ref="CP135:CU135"/>
    <mergeCell ref="BV135:CA135"/>
    <mergeCell ref="CF135:CK135"/>
    <mergeCell ref="CD136:CH137"/>
    <mergeCell ref="CE219:CF219"/>
    <mergeCell ref="CG219:CH219"/>
    <mergeCell ref="CI219:CK219"/>
    <mergeCell ref="CE220:CF220"/>
    <mergeCell ref="CG220:CH220"/>
    <mergeCell ref="CI220:CK220"/>
    <mergeCell ref="CE221:CF221"/>
    <mergeCell ref="CG221:CH221"/>
    <mergeCell ref="CI221:CK221"/>
    <mergeCell ref="CG222:CH222"/>
    <mergeCell ref="CI222:CK222"/>
    <mergeCell ref="CE222:CF222"/>
    <mergeCell ref="CE223:CF223"/>
    <mergeCell ref="CG223:CH223"/>
    <mergeCell ref="CI223:CK223"/>
    <mergeCell ref="CE224:CF224"/>
    <mergeCell ref="CG224:CH224"/>
    <mergeCell ref="CI224:CK224"/>
    <mergeCell ref="CG227:CH227"/>
    <mergeCell ref="CI227:CK227"/>
    <mergeCell ref="CE225:CF225"/>
    <mergeCell ref="CG225:CH225"/>
    <mergeCell ref="CI225:CK225"/>
    <mergeCell ref="CE226:CF226"/>
    <mergeCell ref="CG226:CH226"/>
    <mergeCell ref="CI226:CK226"/>
    <mergeCell ref="CE227:CF227"/>
    <mergeCell ref="CE231:CF231"/>
    <mergeCell ref="CG231:CH231"/>
    <mergeCell ref="CI231:CK231"/>
    <mergeCell ref="CE232:CH232"/>
    <mergeCell ref="CI232:CK232"/>
    <mergeCell ref="CF235:CG235"/>
    <mergeCell ref="CI235:CJ235"/>
    <mergeCell ref="CE228:CF228"/>
    <mergeCell ref="CG228:CH228"/>
    <mergeCell ref="CI228:CK228"/>
    <mergeCell ref="CE229:CF229"/>
    <mergeCell ref="CG229:CH229"/>
    <mergeCell ref="CI229:CK229"/>
    <mergeCell ref="CE230:CF230"/>
    <mergeCell ref="CG230:CH230"/>
    <mergeCell ref="CI230:CK230"/>
    <mergeCell ref="CF269:CK269"/>
    <mergeCell ref="CL269:CM270"/>
    <mergeCell ref="CF270:CK270"/>
    <mergeCell ref="CD271:CH272"/>
    <mergeCell ref="CE354:CF354"/>
    <mergeCell ref="CG354:CH354"/>
    <mergeCell ref="CI354:CK354"/>
    <mergeCell ref="CE355:CF355"/>
    <mergeCell ref="CG355:CH355"/>
    <mergeCell ref="CI355:CK355"/>
    <mergeCell ref="CG356:CH356"/>
    <mergeCell ref="CI356:CK356"/>
    <mergeCell ref="CE356:CF356"/>
    <mergeCell ref="CE357:CF357"/>
    <mergeCell ref="CG357:CH357"/>
    <mergeCell ref="CI357:CK357"/>
    <mergeCell ref="CE358:CF358"/>
    <mergeCell ref="CG358:CH358"/>
    <mergeCell ref="CI358:CK358"/>
    <mergeCell ref="CG361:CH361"/>
    <mergeCell ref="CI361:CK361"/>
    <mergeCell ref="CE359:CF359"/>
    <mergeCell ref="CG359:CH359"/>
    <mergeCell ref="CI359:CK359"/>
    <mergeCell ref="CE360:CF360"/>
    <mergeCell ref="CG360:CH360"/>
    <mergeCell ref="CI360:CK360"/>
    <mergeCell ref="CE361:CF361"/>
    <mergeCell ref="CG628:CH628"/>
    <mergeCell ref="CI628:CK628"/>
    <mergeCell ref="CE626:CF626"/>
    <mergeCell ref="CG626:CH626"/>
    <mergeCell ref="CI626:CK626"/>
    <mergeCell ref="CE627:CF627"/>
    <mergeCell ref="CG627:CH627"/>
    <mergeCell ref="CI627:CK627"/>
    <mergeCell ref="CE628:CF628"/>
  </mergeCells>
  <conditionalFormatting sqref="F8:G79 N8:O80 X8:Y80 AH8:AI80 AR8:AS80 BB8:BC80 BL8:BM80 BV8:BW80 CF8:CG80 CF143:CG215 CF278:CG350 CF413:CG485 CF548:CG620 CF683:CG755 CF818:CG890">
    <cfRule type="expression" dxfId="0" priority="1">
      <formula>ISTEXT(F8)</formula>
    </cfRule>
  </conditionalFormatting>
  <conditionalFormatting sqref="N101:O131 X101:Y131 AH101:AI131 AR101:AS131 BB101:BC131 BL101:BM131 BV101:BW131 CF101:CG131 CF236:CG266 CF371:CG401 CF506:CG536 CF641:CG671 CF776:CG806 CF911:CG941">
    <cfRule type="expression" dxfId="0" priority="2">
      <formula>ISTEXT(N101)</formula>
    </cfRule>
  </conditionalFormatting>
  <conditionalFormatting sqref="Q101:Q131 AA101:AA131 AK101:AK131 AU101:AU131 BE101:BE131 BO101:BO131 BY101:BY131 CI101:CI131 CI236:CI266 CI371:CI401 CI506:CI536 CI641:CI671 CI776:CI806 CI911:CI941">
    <cfRule type="expression" dxfId="1" priority="3">
      <formula>AND(N101&lt;&gt;"",O101&lt;&gt;"",N101=O101)</formula>
    </cfRule>
  </conditionalFormatting>
  <conditionalFormatting sqref="Q101:Q131 AA101:AA131 AK101:AK131 AU101:AU131 BE101:BE131 BO101:BO131 BY101:BY131 CI101:CI131 CI236:CI266 CI371:CI401 CI506:CI536 CI641:CI671 CI776:CI806 CI911:CI941">
    <cfRule type="expression" dxfId="0" priority="4">
      <formula>ISTEXT(Q101)</formula>
    </cfRule>
  </conditionalFormatting>
  <conditionalFormatting sqref="H8:H79 P8:P80 Z8:Z80 AJ8:AJ80 AT8:AT80 BD8:BD80 BN8:BN80 BX8:BX80 CH8:CH80 CH143:CH215 CH278:CH350 CH413:CH485 CH548:CH620 CH683:CH755 CH818:CH890">
    <cfRule type="expression" dxfId="2" priority="5">
      <formula>F8&gt;G8</formula>
    </cfRule>
  </conditionalFormatting>
  <conditionalFormatting sqref="H8:H79 P8:P80 Z8:Z80 AJ8:AJ80 AT8:AT80 BD8:BD80 BN8:BN80 BX8:BX80 CH8:CH80 CH143:CH215 CH278:CH350 CH413:CH485 CH548:CH620 CH683:CH755 CH818:CH890">
    <cfRule type="expression" dxfId="3" priority="6">
      <formula>F8&lt;G8</formula>
    </cfRule>
  </conditionalFormatting>
  <conditionalFormatting sqref="E8:E79 M8:M80 W8:W80 AG8:AG80 AQ8:AQ80 BA8:BA80 BK8:BK80 BU8:BU80 CE8:CE80 CE143:CE215 CE278:CE350 CE413:CE485 CE548:CE620 CE683:CE755 CE818:CE890">
    <cfRule type="expression" dxfId="2" priority="7">
      <formula>F8&lt;G8</formula>
    </cfRule>
  </conditionalFormatting>
  <conditionalFormatting sqref="E8:E79 M8:M80 W8:W80 AG8:AG80 AQ8:AQ80 BA8:BA80 BK8:BK80 BU8:BU80 CE8:CE80 CE143:CE215 CE278:CE350 CE413:CE485 CE548:CE620 CE683:CE755 CE818:CE890">
    <cfRule type="expression" dxfId="3" priority="8">
      <formula>F8&gt;G8</formula>
    </cfRule>
  </conditionalFormatting>
  <conditionalFormatting sqref="I101:I131 Q101:Q131 AA101:AA131 AK101:AK131 AU101:AU131 BE101:BE131 BO101:BO131 BY101:BY131 CI101:CI131 CI236:CI266 CI371:CI401 CI506:CI536 CI641:CI671 CI776:CI806 CI911:CI941">
    <cfRule type="expression" dxfId="4" priority="9">
      <formula>AND(F101&lt;&gt;"",G101&lt;&gt;"",F101=G101)</formula>
    </cfRule>
  </conditionalFormatting>
  <conditionalFormatting sqref="I101:I131 Q101:Q131 AA101:AA131 AK101:AK131 AU101:AU131 BE101:BE131 BO101:BO131 BY101:BY131 CI101:CI131 CI236:CI266 CI371:CI401 CI506:CI536 CI641:CI671 CI776:CI806 CI911:CI941">
    <cfRule type="expression" dxfId="0" priority="10">
      <formula>ISTEXT(I101)</formula>
    </cfRule>
  </conditionalFormatting>
  <conditionalFormatting sqref="R101:R131 AB101:AB131 AL101:AL131 AV101:AV131 BF101:BF131 BP101:BP131 BZ101:BZ131 CJ101:CJ131 CJ236:CJ266 CJ371:CJ401 CJ506:CJ536 CJ641:CJ671 CJ776:CJ806 CJ911:CJ941">
    <cfRule type="expression" dxfId="1" priority="11">
      <formula>AND(N101&lt;&gt;"",O101&lt;&gt;"",N101=O101)</formula>
    </cfRule>
  </conditionalFormatting>
  <conditionalFormatting sqref="R101:R131 AB101:AB131 AL101:AL131 AV101:AV131 BF101:BF131 BP101:BP131 BZ101:BZ131 CJ101:CJ131 CJ236:CJ266 CJ371:CJ401 CJ506:CJ536 CJ641:CJ671 CJ776:CJ806 CJ911:CJ941">
    <cfRule type="expression" dxfId="0" priority="12">
      <formula>ISTEXT(R101)</formula>
    </cfRule>
  </conditionalFormatting>
  <conditionalFormatting sqref="J101:J131 R101:R131 AB101:AB131 AL101:AL131 AV101:AV131 BF101:BF131 BP101:BP131 BZ101:BZ131 CJ101:CJ131 CJ236:CJ266 CJ371:CJ401 CJ506:CJ536 CJ641:CJ671 CJ776:CJ806 CJ911:CJ941">
    <cfRule type="expression" dxfId="4" priority="13">
      <formula>AND(F101&lt;&gt;"",G101&lt;&gt;"",F101=G101)</formula>
    </cfRule>
  </conditionalFormatting>
  <conditionalFormatting sqref="J101:J131 R101:R131 AB101:AB131 AL101:AL131 AV101:AV131 BF101:BF131 BP101:BP131 BZ101:BZ131 CJ101:CJ131 CJ236:CJ266 CJ371:CJ401 CJ506:CJ536 CJ641:CJ671 CJ776:CJ806 CJ911:CJ941">
    <cfRule type="expression" dxfId="0" priority="14">
      <formula>ISTEXT(J101)</formula>
    </cfRule>
  </conditionalFormatting>
  <conditionalFormatting sqref="D101:E131 M101:M131 W101:W131 AG101:AG131 AQ101:AQ131 BA101:BA131 BK101:BK131 BU101:BU131 CE101:CE131 CE236:CE266 CE371:CE401 CE506:CE536 CE641:CE671 CE776:CE806 CE911:CE941">
    <cfRule type="expression" dxfId="2" priority="15">
      <formula>E101+H101&lt;F101+I101</formula>
    </cfRule>
  </conditionalFormatting>
  <conditionalFormatting sqref="D101:E131 M101:M131 W101:W131 AG101:AG131 AQ101:AQ131 BA101:BA131 BK101:BK131 BU101:BU131 CE101:CE131 CE236:CE266 CE371:CE401 CE506:CE536 CE641:CE671 CE776:CE806 CE911:CE941">
    <cfRule type="expression" dxfId="3" priority="16">
      <formula>E101+H101&gt;F101+I101</formula>
    </cfRule>
  </conditionalFormatting>
  <conditionalFormatting sqref="H101:H131 P101:P131 Z101:Z131 AJ101:AJ131 AT101:AT131 BD101:BD131 BN101:BN131 BX101:BX131 CH101:CH131 CH236:CH266 CH371:CH401 CH506:CH536 CH641:CH671 CH776:CH806 CH911:CH941">
    <cfRule type="expression" dxfId="2" priority="17">
      <formula>F101+I101&gt;G101+J101</formula>
    </cfRule>
  </conditionalFormatting>
  <conditionalFormatting sqref="H101:H131 P101:P131 Z101:Z131 AJ101:AJ131 AT101:AT131 BD101:BD131 BN101:BN131 BX101:BX131 CH101:CH131 CH236:CH266 CH371:CH401 CH506:CH536 CH641:CH671 CH776:CH806 CH911:CH941">
    <cfRule type="expression" dxfId="3" priority="18">
      <formula>F101+I101&lt;G101+J101</formula>
    </cfRule>
  </conditionalFormatting>
  <conditionalFormatting sqref="M101:M131 W101:W131 AG101:AG131 AQ101:AQ131 BA101:BA131 BK101:BK131 BU101:BU131 CE101:CE131 CE236:CE266 CE371:CE401 CE506:CE536 CE641:CE671 CE776:CE806 CE911:CE941">
    <cfRule type="expression" dxfId="2" priority="19">
      <formula>N101+Q101&lt;O101+R101</formula>
    </cfRule>
  </conditionalFormatting>
  <conditionalFormatting sqref="M101:M131 W101:W131 AG101:AG131 AQ101:AQ131 BA101:BA131 BK101:BK131 BU101:BU131 CE101:CE131 CE236:CE266 CE371:CE401 CE506:CE536 CE641:CE671 CE776:CE806 CE911:CE941">
    <cfRule type="expression" dxfId="3" priority="20">
      <formula>N101+Q101&gt;O101+R101</formula>
    </cfRule>
  </conditionalFormatting>
  <conditionalFormatting sqref="P101:P131 Z101:Z131 AJ101:AJ131 AT101:AT131 BD101:BD131 BN101:BN131 BX101:BX131 CH101:CH131 CH236:CH266 CH371:CH401 CH506:CH536 CH641:CH671 CH776:CH806 CH911:CH941">
    <cfRule type="expression" dxfId="2" priority="21">
      <formula>N101+Q101&gt;O101+R101</formula>
    </cfRule>
  </conditionalFormatting>
  <conditionalFormatting sqref="P101:P131 Z101:Z131 AJ101:AJ131 AT101:AT131 BD101:BD131 BN101:BN131 BX101:BX131 CH101:CH131 CH236:CH266 CH371:CH401 CH506:CH536 CH641:CH671 CH776:CH806 CH911:CH941">
    <cfRule type="expression" dxfId="3" priority="22">
      <formula>N101+Q101&lt;O101+R101</formula>
    </cfRule>
  </conditionalFormatting>
  <conditionalFormatting sqref="F101:G131 N101:O131 X101:Y131 AH101:AI131 AR101:AS131 BB101:BC131 BL101:BM131 BV101:BW131 CF101:CG131 CF236:CG266 CF371:CG401 CF506:CG536 CF641:CG671 CF776:CG806 CF911:CG941">
    <cfRule type="expression" dxfId="0" priority="23">
      <formula>ISTEXT(F101)</formula>
    </cfRule>
  </conditionalFormatting>
  <conditionalFormatting sqref="N79:O79 X79:Y79 AH79:AI79 AR79:AS79 BB79:BC79 BL79:BM79 BV79:BW79 CF79:CG79 CF214:CG214 CF349:CG349 CF484:CG484 CF619:CG619 CF754:CG754 CF889:CG889">
    <cfRule type="expression" dxfId="0" priority="24">
      <formula>ISTEXT(N79)</formula>
    </cfRule>
  </conditionalFormatting>
  <conditionalFormatting sqref="P79 Z79 AJ79 AT79 BD79 BN79 BX79 CH79 CH214 CH349 CH484 CH619 CH754 CH889">
    <cfRule type="expression" dxfId="2" priority="25">
      <formula>N79&gt;O79</formula>
    </cfRule>
  </conditionalFormatting>
  <conditionalFormatting sqref="P79 Z79 AJ79 AT79 BD79 BN79 BX79 CH79 CH214 CH349 CH484 CH619 CH754 CH889">
    <cfRule type="expression" dxfId="3" priority="26">
      <formula>N79&lt;O79</formula>
    </cfRule>
  </conditionalFormatting>
  <conditionalFormatting sqref="M79 W79 AG79 AQ79 BA79 BK79 BU79 CE79 CE214 CE349 CE484 CE619 CE754 CE889">
    <cfRule type="expression" dxfId="2" priority="27">
      <formula>N79&lt;O79</formula>
    </cfRule>
  </conditionalFormatting>
  <conditionalFormatting sqref="M79 W79 AG79 AQ79 BA79 BK79 BU79 CE79 CE214 CE349 CE484 CE619 CE754 CE889">
    <cfRule type="expression" dxfId="3" priority="28">
      <formula>N79&gt;O79</formula>
    </cfRule>
  </conditionalFormatting>
  <conditionalFormatting sqref="F8:G79 N8:O79 X8:Y79 AH8:AI79 AR8:AS79 BB8:BC79 BL8:BM79 BV8:BW79 CF8:CG79 CF143:CG214 CF278:CG349 CF413:CG484 CF548:CG619 CF683:CG754 CF818:CG889">
    <cfRule type="expression" dxfId="0" priority="29">
      <formula>ISTEXT(F8)</formula>
    </cfRule>
  </conditionalFormatting>
  <conditionalFormatting sqref="N101:O131 X101:Y131 AH101:AI131 AR101:AS131 BB101:BC131 BL101:BM131 BV101:BW131 CF101:CG131 CF236:CG266 CF371:CG401 CF506:CG536 CF641:CG671 CF776:CG806 CF911:CG941">
    <cfRule type="expression" dxfId="0" priority="30">
      <formula>ISTEXT(N101)</formula>
    </cfRule>
  </conditionalFormatting>
  <conditionalFormatting sqref="Q101:Q131 AA101:AA131 AK101:AK131 AU101:AU131 BE101:BE131 BO101:BO131 BY101:BY131 CI101:CI131 CI236:CI266 CI371:CI401 CI506:CI536 CI641:CI671 CI776:CI806 CI911:CI941">
    <cfRule type="expression" dxfId="1" priority="31">
      <formula>AND(N101&lt;&gt;"",O101&lt;&gt;"",N101=O101)</formula>
    </cfRule>
  </conditionalFormatting>
  <conditionalFormatting sqref="Q101:Q131 AA101:AA131 AK101:AK131 AU101:AU131 BE101:BE131 BO101:BO131 BY101:BY131 CI101:CI131 CI236:CI266 CI371:CI401 CI506:CI536 CI641:CI671 CI776:CI806 CI911:CI941">
    <cfRule type="expression" dxfId="0" priority="32">
      <formula>ISTEXT(Q101)</formula>
    </cfRule>
  </conditionalFormatting>
  <conditionalFormatting sqref="H8:H79 P8:P79 Z8:Z79 AJ8:AJ79 AT8:AT79 BD8:BD79 BN8:BN79 BX8:BX79 CH8:CH79 CH143:CH214 CH278:CH349 CH413:CH484 CH548:CH619 CH683:CH754 CH818:CH889">
    <cfRule type="expression" dxfId="2" priority="33">
      <formula>F8&gt;G8</formula>
    </cfRule>
  </conditionalFormatting>
  <conditionalFormatting sqref="H8:H79 P8:P79 Z8:Z79 AJ8:AJ79 AT8:AT79 BD8:BD79 BN8:BN79 BX8:BX79 CH8:CH79 CH143:CH214 CH278:CH349 CH413:CH484 CH548:CH619 CH683:CH754 CH818:CH889">
    <cfRule type="expression" dxfId="3" priority="34">
      <formula>F8&lt;G8</formula>
    </cfRule>
  </conditionalFormatting>
  <conditionalFormatting sqref="E8:E79 M8:M79 W8:W79 AG8:AG79 AQ8:AQ79 BA8:BA79 BK8:BK79 BU8:BU79 CE8:CE79 CE143:CE214 CE278:CE349 CE413:CE484 CE548:CE619 CE683:CE754 CE818:CE889">
    <cfRule type="expression" dxfId="2" priority="35">
      <formula>F8&lt;G8</formula>
    </cfRule>
  </conditionalFormatting>
  <conditionalFormatting sqref="E8:E79 M8:M79 W8:W79 AG8:AG79 AQ8:AQ79 BA8:BA79 BK8:BK79 BU8:BU79 CE8:CE79 CE143:CE214 CE278:CE349 CE413:CE484 CE548:CE619 CE683:CE754 CE818:CE889">
    <cfRule type="expression" dxfId="3" priority="36">
      <formula>F8&gt;G8</formula>
    </cfRule>
  </conditionalFormatting>
  <conditionalFormatting sqref="R101:R131 AB101:AB131 AL101:AL131 AV101:AV131 BF101:BF131 BP101:BP131 BZ101:BZ131 CJ101:CJ131 CJ236:CJ266 CJ371:CJ401 CJ506:CJ536 CJ641:CJ671 CJ776:CJ806 CJ911:CJ941">
    <cfRule type="expression" dxfId="1" priority="37">
      <formula>AND(N101&lt;&gt;"",O101&lt;&gt;"",N101=O101)</formula>
    </cfRule>
  </conditionalFormatting>
  <conditionalFormatting sqref="R101:R131 AB101:AB131 AL101:AL131 AV101:AV131 BF101:BF131 BP101:BP131 BZ101:BZ131 CJ101:CJ131 CJ236:CJ266 CJ371:CJ401 CJ506:CJ536 CJ641:CJ671 CJ776:CJ806 CJ911:CJ941">
    <cfRule type="expression" dxfId="0" priority="38">
      <formula>ISTEXT(R101)</formula>
    </cfRule>
  </conditionalFormatting>
  <conditionalFormatting sqref="M101:M131 W101:W131 AG101:AG131 AQ101:AQ131 BA101:BA131 BK101:BK131 BU101:BU131 CE101:CE131 CE236:CE266 CE371:CE401 CE506:CE536 CE641:CE671 CE776:CE806 CE911:CE941">
    <cfRule type="expression" dxfId="2" priority="39">
      <formula>N101+Q101&lt;O101+R101</formula>
    </cfRule>
  </conditionalFormatting>
  <conditionalFormatting sqref="M101:M131 W101:W131 AG101:AG131 AQ101:AQ131 BA101:BA131 BK101:BK131 BU101:BU131 CE101:CE131 CE236:CE266 CE371:CE401 CE506:CE536 CE641:CE671 CE776:CE806 CE911:CE941">
    <cfRule type="expression" dxfId="3" priority="40">
      <formula>N101+Q101&gt;O101+R101</formula>
    </cfRule>
  </conditionalFormatting>
  <conditionalFormatting sqref="P101:P131 Z101:Z131 AJ101:AJ131 AT101:AT131 BD101:BD131 BN101:BN131 BX101:BX131 CH101:CH131 CH236:CH266 CH371:CH401 CH506:CH536 CH641:CH671 CH776:CH806 CH911:CH941">
    <cfRule type="expression" dxfId="2" priority="41">
      <formula>N101+Q101&gt;O101+R101</formula>
    </cfRule>
  </conditionalFormatting>
  <conditionalFormatting sqref="P101:P131 Z101:Z131 AJ101:AJ131 AT101:AT131 BD101:BD131 BN101:BN131 BX101:BX131 CH101:CH131 CH236:CH266 CH371:CH401 CH506:CH536 CH641:CH671 CH776:CH806 CH911:CH941">
    <cfRule type="expression" dxfId="3" priority="42">
      <formula>N101+Q101&lt;O101+R101</formula>
    </cfRule>
  </conditionalFormatting>
  <conditionalFormatting sqref="W85:X94 AG85:AH94 AQ85:AR94 BK85:BL94 BU85:BV94 CE85:CF94 BA86:BB94 CE220:CF229 CE355:CF364 CE490:CF499 CE625:CF634 CE760:CF769 CE895:CF904">
    <cfRule type="expression" dxfId="5" priority="43">
      <formula>AND(W85&lt;&gt;"",W85=#REF!)</formula>
    </cfRule>
  </conditionalFormatting>
  <conditionalFormatting sqref="Y85:Z94 AI85:AJ94 AS85:AT94 BM85:BN94 BW85:BX94 CG85:CH94 BC86:BD94 CG220:CH229 CG355:CH364 CG490:CH499 CG625:CH634 CG760:CH769 CG895:CH904">
    <cfRule type="expression" dxfId="5" priority="44">
      <formula>AND(Y85&lt;&gt;"",Y85=$F85)</formula>
    </cfRule>
  </conditionalFormatting>
  <conditionalFormatting sqref="AA85:AC94 AK85:AM94 AU85:AW94 BO85:BQ94 BY85:CA94 CI85:CK94 BE86:BG94 CI220:CK229 CI355:CK364 CI490:CK499 CI625:CK634 CI760:CK769 CI895:CK904">
    <cfRule type="expression" dxfId="5" priority="45">
      <formula>AND(AA85&lt;&gt;"",AA85=$H85)</formula>
    </cfRule>
  </conditionalFormatting>
  <conditionalFormatting sqref="W95:X96 AG95:AH96 AQ95:AR96 BA95:BB96 BK95:BL96 BU95:BV96 CE95:CF96 CE230:CF231 CE365:CF366 CE500:CF501 CE635:CF636 CE770:CF771 CE905:CF906">
    <cfRule type="expression" dxfId="5" priority="46">
      <formula>AND(W95&lt;&gt;"",W95=#REF!)</formula>
    </cfRule>
  </conditionalFormatting>
  <conditionalFormatting sqref="Y95:Z96 AI95:AJ96 AS95:AT96 BC95:BD96 BM95:BN96 BW95:BX96 CG95:CH96 CG230:CH231 CG365:CH366 CG500:CH501 CG635:CH636 CG770:CH771 CG905:CH906">
    <cfRule type="expression" dxfId="5" priority="47">
      <formula>AND(Y95&lt;&gt;"",Y95=$F95)</formula>
    </cfRule>
  </conditionalFormatting>
  <conditionalFormatting sqref="AA95:AC96 AK95:AM96 AU95:AW96 BE95:BG96 BO95:BQ96 BY95:CA96 CI95:CK96 CI230:CK231 CI365:CK366 CI500:CK501 CI635:CK636 CI770:CK771 CI905:CK906">
    <cfRule type="expression" dxfId="5" priority="48">
      <formula>AND(AA95&lt;&gt;"",AA95=$H95)</formula>
    </cfRule>
  </conditionalFormatting>
  <conditionalFormatting sqref="X79:Y79 AH79:AI79 AR79:AS79 BB79:BC79 BL79:BM79 BV79:BW79 CF79:CG79 CF214:CG214 CF349:CG349 CF484:CG484 CF619:CG619 CF754:CG754 CF889:CG889">
    <cfRule type="expression" dxfId="0" priority="49">
      <formula>ISTEXT(X79)</formula>
    </cfRule>
  </conditionalFormatting>
  <conditionalFormatting sqref="Z79 AJ79 AT79 BD79 BN79 BX79 CH79 CH214 CH349 CH484 CH619 CH754 CH889">
    <cfRule type="expression" dxfId="2" priority="50">
      <formula>X79&gt;Y79</formula>
    </cfRule>
  </conditionalFormatting>
  <conditionalFormatting sqref="Z79 AJ79 AT79 BD79 BN79 BX79 CH79 CH214 CH349 CH484 CH619 CH754 CH889">
    <cfRule type="expression" dxfId="3" priority="51">
      <formula>X79&lt;Y79</formula>
    </cfRule>
  </conditionalFormatting>
  <conditionalFormatting sqref="W79 AG79 AQ79 BA79 BK79 BU79 CE79 CE214 CE349 CE484 CE619 CE754 CE889">
    <cfRule type="expression" dxfId="2" priority="52">
      <formula>X79&lt;Y79</formula>
    </cfRule>
  </conditionalFormatting>
  <conditionalFormatting sqref="W79 AG79 AQ79 BA79 BK79 BU79 CE79 CE214 CE349 CE484 CE619 CE754 CE889">
    <cfRule type="expression" dxfId="3" priority="53">
      <formula>X79&gt;Y79</formula>
    </cfRule>
  </conditionalFormatting>
  <conditionalFormatting sqref="AH8:AI79 AR16">
    <cfRule type="expression" dxfId="0" priority="54">
      <formula>ISTEXT(AH8)</formula>
    </cfRule>
  </conditionalFormatting>
  <conditionalFormatting sqref="AH101:AI131">
    <cfRule type="expression" dxfId="0" priority="55">
      <formula>ISTEXT(AH101)</formula>
    </cfRule>
  </conditionalFormatting>
  <conditionalFormatting sqref="AK101:AK131">
    <cfRule type="expression" dxfId="1" priority="56">
      <formula>AND(AH101&lt;&gt;"",AI101&lt;&gt;"",AH101=AI101)</formula>
    </cfRule>
  </conditionalFormatting>
  <conditionalFormatting sqref="AK101:AK131">
    <cfRule type="expression" dxfId="0" priority="57">
      <formula>ISTEXT(AK101)</formula>
    </cfRule>
  </conditionalFormatting>
  <conditionalFormatting sqref="AJ8:AJ79">
    <cfRule type="expression" dxfId="2" priority="58">
      <formula>AH8&gt;AI8</formula>
    </cfRule>
  </conditionalFormatting>
  <conditionalFormatting sqref="AJ8:AJ79">
    <cfRule type="expression" dxfId="3" priority="59">
      <formula>AH8&lt;AI8</formula>
    </cfRule>
  </conditionalFormatting>
  <conditionalFormatting sqref="AG8:AG79">
    <cfRule type="expression" dxfId="2" priority="60">
      <formula>AH8&lt;AI8</formula>
    </cfRule>
  </conditionalFormatting>
  <conditionalFormatting sqref="AG8:AG79">
    <cfRule type="expression" dxfId="3" priority="61">
      <formula>AH8&gt;AI8</formula>
    </cfRule>
  </conditionalFormatting>
  <conditionalFormatting sqref="AL101:AL131">
    <cfRule type="expression" dxfId="1" priority="62">
      <formula>AND(AH101&lt;&gt;"",AI101&lt;&gt;"",AH101=AI101)</formula>
    </cfRule>
  </conditionalFormatting>
  <conditionalFormatting sqref="AL101:AL131">
    <cfRule type="expression" dxfId="0" priority="63">
      <formula>ISTEXT(AL101)</formula>
    </cfRule>
  </conditionalFormatting>
  <conditionalFormatting sqref="AG101:AG131">
    <cfRule type="expression" dxfId="2" priority="64">
      <formula>AH101+AK101&lt;AI101+AL101</formula>
    </cfRule>
  </conditionalFormatting>
  <conditionalFormatting sqref="AG101:AG131">
    <cfRule type="expression" dxfId="3" priority="65">
      <formula>AH101+AK101&gt;AI101+AL101</formula>
    </cfRule>
  </conditionalFormatting>
  <conditionalFormatting sqref="AJ101:AJ131">
    <cfRule type="expression" dxfId="2" priority="66">
      <formula>AH101+AK101&gt;AI101+AL101</formula>
    </cfRule>
  </conditionalFormatting>
  <conditionalFormatting sqref="AJ101:AJ131">
    <cfRule type="expression" dxfId="3" priority="67">
      <formula>AH101+AK101&lt;AI101+AL101</formula>
    </cfRule>
  </conditionalFormatting>
  <conditionalFormatting sqref="AG85:AH94">
    <cfRule type="expression" dxfId="5" priority="68">
      <formula>AND(AG85&lt;&gt;"",AG85=#REF!)</formula>
    </cfRule>
  </conditionalFormatting>
  <conditionalFormatting sqref="AI85:AJ94">
    <cfRule type="expression" dxfId="5" priority="69">
      <formula>AND(AI85&lt;&gt;"",AI85=$F85)</formula>
    </cfRule>
  </conditionalFormatting>
  <conditionalFormatting sqref="AK85:AM94">
    <cfRule type="expression" dxfId="5" priority="70">
      <formula>AND(AK85&lt;&gt;"",AK85=$H85)</formula>
    </cfRule>
  </conditionalFormatting>
  <conditionalFormatting sqref="AG95:AH96">
    <cfRule type="expression" dxfId="5" priority="71">
      <formula>AND(AG95&lt;&gt;"",AG95=#REF!)</formula>
    </cfRule>
  </conditionalFormatting>
  <conditionalFormatting sqref="AI95:AJ96">
    <cfRule type="expression" dxfId="5" priority="72">
      <formula>AND(AI95&lt;&gt;"",AI95=$F95)</formula>
    </cfRule>
  </conditionalFormatting>
  <conditionalFormatting sqref="AK95:AM96">
    <cfRule type="expression" dxfId="5" priority="73">
      <formula>AND(AK95&lt;&gt;"",AK95=$H95)</formula>
    </cfRule>
  </conditionalFormatting>
  <conditionalFormatting sqref="AH79:AI79">
    <cfRule type="expression" dxfId="0" priority="74">
      <formula>ISTEXT(AH79)</formula>
    </cfRule>
  </conditionalFormatting>
  <conditionalFormatting sqref="AJ79">
    <cfRule type="expression" dxfId="2" priority="75">
      <formula>AH79&gt;AI79</formula>
    </cfRule>
  </conditionalFormatting>
  <conditionalFormatting sqref="AJ79">
    <cfRule type="expression" dxfId="3" priority="76">
      <formula>AH79&lt;AI79</formula>
    </cfRule>
  </conditionalFormatting>
  <conditionalFormatting sqref="AG79">
    <cfRule type="expression" dxfId="2" priority="77">
      <formula>AH79&lt;AI79</formula>
    </cfRule>
  </conditionalFormatting>
  <conditionalFormatting sqref="AG79">
    <cfRule type="expression" dxfId="3" priority="78">
      <formula>AH79&gt;AI79</formula>
    </cfRule>
  </conditionalFormatting>
  <conditionalFormatting sqref="AR8:AS79">
    <cfRule type="expression" dxfId="0" priority="79">
      <formula>ISTEXT(AR8)</formula>
    </cfRule>
  </conditionalFormatting>
  <conditionalFormatting sqref="AR101:AS131">
    <cfRule type="expression" dxfId="0" priority="80">
      <formula>ISTEXT(AR101)</formula>
    </cfRule>
  </conditionalFormatting>
  <conditionalFormatting sqref="AU101:AU131">
    <cfRule type="expression" dxfId="1" priority="81">
      <formula>AND(AR101&lt;&gt;"",AS101&lt;&gt;"",AR101=AS101)</formula>
    </cfRule>
  </conditionalFormatting>
  <conditionalFormatting sqref="AU101:AU131">
    <cfRule type="expression" dxfId="0" priority="82">
      <formula>ISTEXT(AU101)</formula>
    </cfRule>
  </conditionalFormatting>
  <conditionalFormatting sqref="AT8:AT79">
    <cfRule type="expression" dxfId="2" priority="83">
      <formula>AR8&gt;AS8</formula>
    </cfRule>
  </conditionalFormatting>
  <conditionalFormatting sqref="AT8:AT79">
    <cfRule type="expression" dxfId="3" priority="84">
      <formula>AR8&lt;AS8</formula>
    </cfRule>
  </conditionalFormatting>
  <conditionalFormatting sqref="AQ8:AQ79">
    <cfRule type="expression" dxfId="2" priority="85">
      <formula>AR8&lt;AS8</formula>
    </cfRule>
  </conditionalFormatting>
  <conditionalFormatting sqref="AQ8:AQ79">
    <cfRule type="expression" dxfId="3" priority="86">
      <formula>AR8&gt;AS8</formula>
    </cfRule>
  </conditionalFormatting>
  <conditionalFormatting sqref="AV101:AV131">
    <cfRule type="expression" dxfId="1" priority="87">
      <formula>AND(AR101&lt;&gt;"",AS101&lt;&gt;"",AR101=AS101)</formula>
    </cfRule>
  </conditionalFormatting>
  <conditionalFormatting sqref="AV101:AV131">
    <cfRule type="expression" dxfId="0" priority="88">
      <formula>ISTEXT(AV101)</formula>
    </cfRule>
  </conditionalFormatting>
  <conditionalFormatting sqref="AQ101:AQ131">
    <cfRule type="expression" dxfId="2" priority="89">
      <formula>AR101+AU101&lt;AS101+AV101</formula>
    </cfRule>
  </conditionalFormatting>
  <conditionalFormatting sqref="AQ101:AQ131">
    <cfRule type="expression" dxfId="3" priority="90">
      <formula>AR101+AU101&gt;AS101+AV101</formula>
    </cfRule>
  </conditionalFormatting>
  <conditionalFormatting sqref="AT101:AT131">
    <cfRule type="expression" dxfId="2" priority="91">
      <formula>AR101+AU101&gt;AS101+AV101</formula>
    </cfRule>
  </conditionalFormatting>
  <conditionalFormatting sqref="AT101:AT131">
    <cfRule type="expression" dxfId="3" priority="92">
      <formula>AR101+AU101&lt;AS101+AV101</formula>
    </cfRule>
  </conditionalFormatting>
  <conditionalFormatting sqref="AQ85:AR94 BK85:BL91 BU85:BV91 CE85:CF91 CE220:CF226 CE355:CF361 CE490:CF496 CE625:CF631 CE760:CF766 CE895:CF901">
    <cfRule type="expression" dxfId="5" priority="93">
      <formula>AND(AQ85&lt;&gt;"",AQ85=#REF!)</formula>
    </cfRule>
  </conditionalFormatting>
  <conditionalFormatting sqref="AS85:AT94">
    <cfRule type="expression" dxfId="5" priority="94">
      <formula>AND(AS85&lt;&gt;"",AS85=$F85)</formula>
    </cfRule>
  </conditionalFormatting>
  <conditionalFormatting sqref="AU85:AW94">
    <cfRule type="expression" dxfId="5" priority="95">
      <formula>AND(AU85&lt;&gt;"",AU85=$H85)</formula>
    </cfRule>
  </conditionalFormatting>
  <conditionalFormatting sqref="AQ95:AR96">
    <cfRule type="expression" dxfId="5" priority="96">
      <formula>AND(AQ95&lt;&gt;"",AQ95=#REF!)</formula>
    </cfRule>
  </conditionalFormatting>
  <conditionalFormatting sqref="AS95:AT96">
    <cfRule type="expression" dxfId="5" priority="97">
      <formula>AND(AS95&lt;&gt;"",AS95=$F95)</formula>
    </cfRule>
  </conditionalFormatting>
  <conditionalFormatting sqref="AU95:AW96">
    <cfRule type="expression" dxfId="5" priority="98">
      <formula>AND(AU95&lt;&gt;"",AU95=$H95)</formula>
    </cfRule>
  </conditionalFormatting>
  <conditionalFormatting sqref="AR79:AS79">
    <cfRule type="expression" dxfId="0" priority="99">
      <formula>ISTEXT(AR79)</formula>
    </cfRule>
  </conditionalFormatting>
  <conditionalFormatting sqref="AT79">
    <cfRule type="expression" dxfId="2" priority="100">
      <formula>AR79&gt;AS79</formula>
    </cfRule>
  </conditionalFormatting>
  <conditionalFormatting sqref="AT79">
    <cfRule type="expression" dxfId="3" priority="101">
      <formula>AR79&lt;AS79</formula>
    </cfRule>
  </conditionalFormatting>
  <conditionalFormatting sqref="AQ79">
    <cfRule type="expression" dxfId="2" priority="102">
      <formula>AR79&lt;AS79</formula>
    </cfRule>
  </conditionalFormatting>
  <conditionalFormatting sqref="AQ79">
    <cfRule type="expression" dxfId="3" priority="103">
      <formula>AR79&gt;AS79</formula>
    </cfRule>
  </conditionalFormatting>
  <conditionalFormatting sqref="BB8:BC79">
    <cfRule type="expression" dxfId="0" priority="104">
      <formula>ISTEXT(BB8)</formula>
    </cfRule>
  </conditionalFormatting>
  <conditionalFormatting sqref="BB101:BC131">
    <cfRule type="expression" dxfId="0" priority="105">
      <formula>ISTEXT(BB101)</formula>
    </cfRule>
  </conditionalFormatting>
  <conditionalFormatting sqref="BE101:BE131">
    <cfRule type="expression" dxfId="1" priority="106">
      <formula>AND(BB101&lt;&gt;"",BC101&lt;&gt;"",BB101=BC101)</formula>
    </cfRule>
  </conditionalFormatting>
  <conditionalFormatting sqref="BE101:BE131">
    <cfRule type="expression" dxfId="0" priority="107">
      <formula>ISTEXT(BE101)</formula>
    </cfRule>
  </conditionalFormatting>
  <conditionalFormatting sqref="BD8:BD79">
    <cfRule type="expression" dxfId="2" priority="108">
      <formula>BB8&gt;BC8</formula>
    </cfRule>
  </conditionalFormatting>
  <conditionalFormatting sqref="BD8:BD79">
    <cfRule type="expression" dxfId="3" priority="109">
      <formula>BB8&lt;BC8</formula>
    </cfRule>
  </conditionalFormatting>
  <conditionalFormatting sqref="BA8:BA79">
    <cfRule type="expression" dxfId="2" priority="110">
      <formula>BB8&lt;BC8</formula>
    </cfRule>
  </conditionalFormatting>
  <conditionalFormatting sqref="BA8:BA79">
    <cfRule type="expression" dxfId="3" priority="111">
      <formula>BB8&gt;BC8</formula>
    </cfRule>
  </conditionalFormatting>
  <conditionalFormatting sqref="BF101:BF131">
    <cfRule type="expression" dxfId="1" priority="112">
      <formula>AND(BB101&lt;&gt;"",BC101&lt;&gt;"",BB101=BC101)</formula>
    </cfRule>
  </conditionalFormatting>
  <conditionalFormatting sqref="BF101:BF131">
    <cfRule type="expression" dxfId="0" priority="113">
      <formula>ISTEXT(BF101)</formula>
    </cfRule>
  </conditionalFormatting>
  <conditionalFormatting sqref="BA101:BA131">
    <cfRule type="expression" dxfId="2" priority="114">
      <formula>BB101+BE101&lt;BC101+BF101</formula>
    </cfRule>
  </conditionalFormatting>
  <conditionalFormatting sqref="BA101:BA131">
    <cfRule type="expression" dxfId="3" priority="115">
      <formula>BB101+BE101&gt;BC101+BF101</formula>
    </cfRule>
  </conditionalFormatting>
  <conditionalFormatting sqref="BD101:BD131">
    <cfRule type="expression" dxfId="2" priority="116">
      <formula>BB101+BE101&gt;BC101+BF101</formula>
    </cfRule>
  </conditionalFormatting>
  <conditionalFormatting sqref="BD101:BD131">
    <cfRule type="expression" dxfId="3" priority="117">
      <formula>BB101+BE101&lt;BC101+BF101</formula>
    </cfRule>
  </conditionalFormatting>
  <conditionalFormatting sqref="BA86:BB94 BM87:BM88 BW87:BW88 CG87:CG88 BK89:BK94 BU89:BU94 CE89:CE94 CG222:CG223 CE224:CE229 CG357:CG358 CE359:CE364 CG492:CG493 CE494:CE499 CG627:CG628 CE629:CE634 CG762:CG763 CE764:CE769 CG897:CG898 CE899:CE904">
    <cfRule type="expression" dxfId="5" priority="118">
      <formula>AND(BA86&lt;&gt;"",BA86=#REF!)</formula>
    </cfRule>
  </conditionalFormatting>
  <conditionalFormatting sqref="BC86:BD94 BO87 BY87 CI87 BK88 BU88 CE88 BO89:BO93 BY89:BY93 CI89:CI93 BM94 BW94 CG94 CI222 CE223 CI224:CI228 CG229 CI357 CE358 CI359:CI363 CG364 CI492 CE493 CI494:CI498 CG499 CI627 CE628 CI629:CI633 CG634 CI762 CE763 CI764:CI768 CG769 CI897 CE898 CI899:CI903 CG904">
    <cfRule type="expression" dxfId="5" priority="119">
      <formula>AND(BC86&lt;&gt;"",BC86=$F86)</formula>
    </cfRule>
  </conditionalFormatting>
  <conditionalFormatting sqref="BE86:BG94 BK87 BU87 CE87 BO88 BY88 CI88 BM89:BM93 BW89:BW93 CG89:CG93 BO94 BY94 CI94 CE222 CI223 CG224:CG228 CI229 CE357 CI358 CG359:CG363 CI364 CE492 CI493 CG494:CG498 CI499 CE627 CI628 CG629:CG633 CI634 CE762 CI763 CG764:CG768 CI769 CE897 CI898 CG899:CG903 CI904">
    <cfRule type="expression" dxfId="5" priority="120">
      <formula>AND(BE86&lt;&gt;"",BE86=$H86)</formula>
    </cfRule>
  </conditionalFormatting>
  <conditionalFormatting sqref="BA95:BB96 BM95 BW95 CG95 BO96 BY96 CI96 CG230 CI231 CG365 CI366 CG500 CI501 CG635 CI636 CG770 CI771 CG905 CI906">
    <cfRule type="expression" dxfId="5" priority="121">
      <formula>AND(BA95&lt;&gt;"",BA95=#REF!)</formula>
    </cfRule>
  </conditionalFormatting>
  <conditionalFormatting sqref="BC95:BD96 BK95:BK96 BU95:BU96 CE95:CE96 BM96 BW96 CG96 CE230:CE231 CG231 CE365:CE366 CG366 CE500:CE501 CG501 CE635:CE636 CG636 CE770:CE771 CG771 CE905:CE906 CG906">
    <cfRule type="expression" dxfId="5" priority="122">
      <formula>AND(BC95&lt;&gt;"",BC95=$F95)</formula>
    </cfRule>
  </conditionalFormatting>
  <conditionalFormatting sqref="BE95:BG96 BO95 BY95 CI95 BK96 BM96 BU96 BW96 CE96 CG96 CI230 CE231 CG231 CI365 CE366 CG366 CI500 CE501 CG501 CI635 CE636 CG636 CI770 CE771 CG771 CI905 CE906 CG906">
    <cfRule type="expression" dxfId="5" priority="123">
      <formula>AND(BE95&lt;&gt;"",BE95=$H95)</formula>
    </cfRule>
  </conditionalFormatting>
  <conditionalFormatting sqref="BB79:BC79">
    <cfRule type="expression" dxfId="0" priority="124">
      <formula>ISTEXT(BB79)</formula>
    </cfRule>
  </conditionalFormatting>
  <conditionalFormatting sqref="BD79">
    <cfRule type="expression" dxfId="2" priority="125">
      <formula>BB79&gt;BC79</formula>
    </cfRule>
  </conditionalFormatting>
  <conditionalFormatting sqref="BD79">
    <cfRule type="expression" dxfId="3" priority="126">
      <formula>BB79&lt;BC79</formula>
    </cfRule>
  </conditionalFormatting>
  <conditionalFormatting sqref="BA79">
    <cfRule type="expression" dxfId="2" priority="127">
      <formula>BB79&lt;BC79</formula>
    </cfRule>
  </conditionalFormatting>
  <conditionalFormatting sqref="BA79">
    <cfRule type="expression" dxfId="3" priority="128">
      <formula>BB79&gt;BC79</formula>
    </cfRule>
  </conditionalFormatting>
  <conditionalFormatting sqref="BL8:BM79 BV8:BW79 CF8:CG79 CF143:CG214 CF278:CG349 CF413:CG484 CF548:CG619 CF683:CG754 CF818:CG889">
    <cfRule type="expression" dxfId="0" priority="129">
      <formula>ISTEXT(BL8)</formula>
    </cfRule>
  </conditionalFormatting>
  <conditionalFormatting sqref="BL101:BM131 BV101:BW131 CF101:CG131 CF236:CG266 CF371:CG401 CF506:CG536 CF641:CG671 CF776:CG806 CF911:CG941">
    <cfRule type="expression" dxfId="0" priority="130">
      <formula>ISTEXT(BL101)</formula>
    </cfRule>
  </conditionalFormatting>
  <conditionalFormatting sqref="BO101:BO131 BY101:BY131 CI101:CI131 CI236:CI266 CI371:CI401 CI506:CI536 CI641:CI671 CI776:CI806 CI911:CI941">
    <cfRule type="expression" dxfId="1" priority="131">
      <formula>AND(BL101&lt;&gt;"",BM101&lt;&gt;"",BL101=BM101)</formula>
    </cfRule>
  </conditionalFormatting>
  <conditionalFormatting sqref="BO101:BO131 BY101:BY131 CI101:CI131 CI236:CI266 CI371:CI401 CI506:CI536 CI641:CI671 CI776:CI806 CI911:CI941">
    <cfRule type="expression" dxfId="0" priority="132">
      <formula>ISTEXT(BO101)</formula>
    </cfRule>
  </conditionalFormatting>
  <conditionalFormatting sqref="BN8:BN79 BX8:BX79 CH8:CH79 CH143:CH214 CH278:CH349 CH413:CH484 CH548:CH619 CH683:CH754 CH818:CH889">
    <cfRule type="expression" dxfId="2" priority="133">
      <formula>BL8&gt;BM8</formula>
    </cfRule>
  </conditionalFormatting>
  <conditionalFormatting sqref="BN8:BN79 BX8:BX79 CH8:CH79 CH143:CH214 CH278:CH349 CH413:CH484 CH548:CH619 CH683:CH754 CH818:CH889">
    <cfRule type="expression" dxfId="3" priority="134">
      <formula>BL8&lt;BM8</formula>
    </cfRule>
  </conditionalFormatting>
  <conditionalFormatting sqref="BK8:BK79 BU8:BU79 CE8:CE79 CE143:CE214 CE278:CE349 CE413:CE484 CE548:CE619 CE683:CE754 CE818:CE889">
    <cfRule type="expression" dxfId="2" priority="135">
      <formula>BL8&lt;BM8</formula>
    </cfRule>
  </conditionalFormatting>
  <conditionalFormatting sqref="BK8:BK79 BU8:BU79 CE8:CE79 CE143:CE214 CE278:CE349 CE413:CE484 CE548:CE619 CE683:CE754 CE818:CE889">
    <cfRule type="expression" dxfId="3" priority="136">
      <formula>BL8&gt;BM8</formula>
    </cfRule>
  </conditionalFormatting>
  <conditionalFormatting sqref="BP101:BP131 BZ101:BZ131 CJ101:CJ131 CJ236:CJ266 CJ371:CJ401 CJ506:CJ536 CJ641:CJ671 CJ776:CJ806 CJ911:CJ941">
    <cfRule type="expression" dxfId="1" priority="137">
      <formula>AND(BL101&lt;&gt;"",BM101&lt;&gt;"",BL101=BM101)</formula>
    </cfRule>
  </conditionalFormatting>
  <conditionalFormatting sqref="BP101:BP131 BZ101:BZ131 CJ101:CJ131 CJ236:CJ266 CJ371:CJ401 CJ506:CJ536 CJ641:CJ671 CJ776:CJ806 CJ911:CJ941">
    <cfRule type="expression" dxfId="0" priority="138">
      <formula>ISTEXT(BP101)</formula>
    </cfRule>
  </conditionalFormatting>
  <conditionalFormatting sqref="BK101:BK131 BU101:BU131 CE101:CE131 CE236:CE266 CE371:CE401 CE506:CE536 CE641:CE671 CE776:CE806 CE911:CE941">
    <cfRule type="expression" dxfId="2" priority="139">
      <formula>BL101+BO101&lt;BM101+BP101</formula>
    </cfRule>
  </conditionalFormatting>
  <conditionalFormatting sqref="BK101:BK131 BU101:BU131 CE101:CE131 CE236:CE266 CE371:CE401 CE506:CE536 CE641:CE671 CE776:CE806 CE911:CE941">
    <cfRule type="expression" dxfId="3" priority="140">
      <formula>BL101+BO101&gt;BM101+BP101</formula>
    </cfRule>
  </conditionalFormatting>
  <conditionalFormatting sqref="BN101:BN131 BX101:BX131 CH101:CH131 CH236:CH266 CH371:CH401 CH506:CH536 CH641:CH671 CH776:CH806 CH911:CH941">
    <cfRule type="expression" dxfId="2" priority="141">
      <formula>BL101+BO101&gt;BM101+BP101</formula>
    </cfRule>
  </conditionalFormatting>
  <conditionalFormatting sqref="BN101:BN131 BX101:BX131 CH101:CH131 CH236:CH266 CH371:CH401 CH506:CH536 CH641:CH671 CH776:CH806 CH911:CH941">
    <cfRule type="expression" dxfId="3" priority="142">
      <formula>BL101+BO101&lt;BM101+BP101</formula>
    </cfRule>
  </conditionalFormatting>
  <conditionalFormatting sqref="BK85:BL94 BU85:BV94 CE85:CF94 CE220:CF229 CE355:CF364 CE490:CF499 CE625:CF634 CE760:CF769 CE895:CF904">
    <cfRule type="expression" dxfId="5" priority="143">
      <formula>AND(BK85&lt;&gt;"",BK85=#REF!)</formula>
    </cfRule>
  </conditionalFormatting>
  <conditionalFormatting sqref="BM85:BN94 BW85:BX94 CG85:CH94 CG220:CH229 CG355:CH364 CG490:CH499 CG625:CH634 CG760:CH769 CG895:CH904">
    <cfRule type="expression" dxfId="5" priority="144">
      <formula>AND(BM85&lt;&gt;"",BM85=$F85)</formula>
    </cfRule>
  </conditionalFormatting>
  <conditionalFormatting sqref="BO85:BQ94 BY85:CA94 CI85:CK94 CI220:CK229 CI355:CK364 CI490:CK499 CI625:CK634 CI760:CK769 CI895:CK904">
    <cfRule type="expression" dxfId="5" priority="145">
      <formula>AND(BO85&lt;&gt;"",BO85=$H85)</formula>
    </cfRule>
  </conditionalFormatting>
  <conditionalFormatting sqref="BK95:BL96 BU95:BV96 CE95:CF96 CE230:CF231 CE365:CF366 CE500:CF501 CE635:CF636 CE770:CF771 CE905:CF906">
    <cfRule type="expression" dxfId="5" priority="146">
      <formula>AND(BK95&lt;&gt;"",BK95=#REF!)</formula>
    </cfRule>
  </conditionalFormatting>
  <conditionalFormatting sqref="BM95:BN96 BW95:BX96 CG95:CH96 BK96 BU96 CE96 CG230:CH231 CE231 CG365:CH366 CE366 CG500:CH501 CE501 CG635:CH636 CE636 CG770:CH771 CE771 CG905:CH906 CE906">
    <cfRule type="expression" dxfId="5" priority="147">
      <formula>AND(BO94&lt;&gt;"",BO94=$F94)</formula>
    </cfRule>
  </conditionalFormatting>
  <conditionalFormatting sqref="BO95:BQ96 BY95:CA96 CI95:CK96 CI230:CK231 CI365:CK366 CI500:CK501 CI635:CK636 CI770:CK771 CI905:CK906">
    <cfRule type="expression" dxfId="5" priority="148">
      <formula>AND(BO95&lt;&gt;"",BO95=$H95)</formula>
    </cfRule>
  </conditionalFormatting>
  <conditionalFormatting sqref="BL79:BM79 BV79:BW79 CF79:CG79 CF214:CG214 CF349:CG349 CF484:CG484 CF619:CG619 CF754:CG754 CF889:CG889">
    <cfRule type="expression" dxfId="0" priority="149">
      <formula>ISTEXT(BL79)</formula>
    </cfRule>
  </conditionalFormatting>
  <conditionalFormatting sqref="BN79 BX79 CH79 CH214 CH349 CH484 CH619 CH754 CH889">
    <cfRule type="expression" dxfId="2" priority="150">
      <formula>BL79&gt;BM79</formula>
    </cfRule>
  </conditionalFormatting>
  <conditionalFormatting sqref="BN79 BX79 CH79 CH214 CH349 CH484 CH619 CH754 CH889">
    <cfRule type="expression" dxfId="3" priority="151">
      <formula>BL79&lt;BM79</formula>
    </cfRule>
  </conditionalFormatting>
  <conditionalFormatting sqref="BK79 BU79 CE79 CE214 CE349 CE484 CE619 CE754 CE889">
    <cfRule type="expression" dxfId="2" priority="152">
      <formula>BL79&lt;BM79</formula>
    </cfRule>
  </conditionalFormatting>
  <conditionalFormatting sqref="BK79 BU79 CE79 CE214 CE349 CE484 CE619 CE754 CE889">
    <cfRule type="expression" dxfId="3" priority="153">
      <formula>BL79&gt;BM79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hidden="1" min="1" max="2" width="14.43"/>
  </cols>
  <sheetData>
    <row r="1">
      <c r="A1" s="230" t="s">
        <v>2</v>
      </c>
      <c r="B1" s="231" t="s">
        <v>18</v>
      </c>
      <c r="C1" s="230" t="s">
        <v>2</v>
      </c>
      <c r="D1" s="230" t="s">
        <v>146</v>
      </c>
    </row>
    <row r="2">
      <c r="A2" s="230" t="s">
        <v>3</v>
      </c>
      <c r="B2" s="231">
        <f>Predictions!S5</f>
        <v>21</v>
      </c>
      <c r="C2" s="232" t="str">
        <f t="array" ref="C2:C7">TRANSPOSE(TRANSPOSE(BYROW(SEQUENCE(6,1,0), LAMBDA(i, INDEX(Predictions!4:4, 14 + i*10)))))</f>
        <v>Aboud</v>
      </c>
      <c r="D2" s="231">
        <f>Predictions!S5</f>
        <v>21</v>
      </c>
    </row>
    <row r="3">
      <c r="A3" s="230" t="s">
        <v>10</v>
      </c>
      <c r="B3" s="231">
        <f>Predictions!AW5</f>
        <v>15</v>
      </c>
      <c r="C3" s="230" t="s">
        <v>7</v>
      </c>
      <c r="D3" s="231">
        <f>Predictions!AC5</f>
        <v>30</v>
      </c>
    </row>
    <row r="4">
      <c r="A4" s="230" t="s">
        <v>12</v>
      </c>
      <c r="B4" s="231">
        <f>Predictions!BG5</f>
        <v>27</v>
      </c>
      <c r="C4" s="230" t="s">
        <v>8</v>
      </c>
      <c r="D4" s="231">
        <f>Predictions!AM5</f>
        <v>12</v>
      </c>
    </row>
    <row r="5">
      <c r="A5" s="230" t="s">
        <v>7</v>
      </c>
      <c r="B5" s="231">
        <f>Predictions!AC5</f>
        <v>30</v>
      </c>
      <c r="C5" s="230" t="s">
        <v>9</v>
      </c>
      <c r="D5" s="231">
        <f>Predictions!AW5</f>
        <v>15</v>
      </c>
    </row>
    <row r="6">
      <c r="A6" s="230" t="s">
        <v>147</v>
      </c>
      <c r="B6" s="231">
        <f>Predictions!AM5</f>
        <v>12</v>
      </c>
      <c r="C6" s="230" t="s">
        <v>10</v>
      </c>
      <c r="D6" s="231">
        <f>Predictions!BG5</f>
        <v>27</v>
      </c>
    </row>
    <row r="7">
      <c r="A7" s="230" t="s">
        <v>148</v>
      </c>
      <c r="B7" s="231">
        <f>Predictions!BQ5</f>
        <v>18</v>
      </c>
      <c r="C7" s="230" t="s">
        <v>11</v>
      </c>
      <c r="D7" s="231">
        <f>Predictions!BQ5</f>
        <v>18</v>
      </c>
    </row>
    <row r="8">
      <c r="B8" s="231"/>
      <c r="C8" s="232" t="s">
        <v>12</v>
      </c>
      <c r="D8" s="233">
        <f>Predictions!CA5</f>
        <v>18</v>
      </c>
    </row>
    <row r="9">
      <c r="B9" s="231"/>
      <c r="C9" s="232" t="s">
        <v>13</v>
      </c>
      <c r="D9" s="233">
        <f>Predictions!CK5</f>
        <v>21</v>
      </c>
    </row>
    <row r="10">
      <c r="B10" s="231"/>
    </row>
    <row r="11">
      <c r="B11" s="231"/>
    </row>
    <row r="12">
      <c r="B12" s="231"/>
    </row>
    <row r="13">
      <c r="B13" s="231"/>
    </row>
    <row r="14">
      <c r="B14" s="231"/>
    </row>
    <row r="15">
      <c r="B15" s="231"/>
    </row>
    <row r="16">
      <c r="B16" s="231"/>
    </row>
    <row r="17">
      <c r="B17" s="231"/>
    </row>
    <row r="18">
      <c r="B18" s="231"/>
    </row>
    <row r="19">
      <c r="B19" s="231"/>
    </row>
    <row r="20">
      <c r="B20" s="231"/>
    </row>
    <row r="21">
      <c r="B21" s="231"/>
    </row>
    <row r="22">
      <c r="B22" s="231"/>
    </row>
    <row r="23">
      <c r="B23" s="231"/>
    </row>
    <row r="24">
      <c r="B24" s="231"/>
    </row>
    <row r="25">
      <c r="B25" s="231"/>
    </row>
    <row r="26">
      <c r="B26" s="231"/>
    </row>
    <row r="27">
      <c r="B27" s="231"/>
    </row>
    <row r="28">
      <c r="B28" s="231"/>
    </row>
    <row r="29">
      <c r="B29" s="231"/>
    </row>
    <row r="30">
      <c r="B30" s="231"/>
    </row>
    <row r="31">
      <c r="B31" s="231"/>
    </row>
    <row r="32">
      <c r="B32" s="231"/>
    </row>
    <row r="33">
      <c r="B33" s="231"/>
    </row>
    <row r="34">
      <c r="B34" s="231"/>
    </row>
    <row r="35">
      <c r="B35" s="231"/>
    </row>
    <row r="36">
      <c r="B36" s="231"/>
    </row>
    <row r="37">
      <c r="B37" s="231"/>
    </row>
    <row r="38">
      <c r="B38" s="231"/>
    </row>
    <row r="39">
      <c r="B39" s="231"/>
    </row>
    <row r="40">
      <c r="B40" s="231"/>
    </row>
    <row r="41">
      <c r="B41" s="231"/>
    </row>
    <row r="42">
      <c r="B42" s="231"/>
    </row>
    <row r="43">
      <c r="B43" s="231"/>
    </row>
    <row r="44">
      <c r="B44" s="231"/>
    </row>
    <row r="45">
      <c r="B45" s="231"/>
    </row>
    <row r="46">
      <c r="B46" s="231"/>
    </row>
    <row r="47">
      <c r="B47" s="231"/>
    </row>
    <row r="48">
      <c r="B48" s="231"/>
    </row>
    <row r="49">
      <c r="B49" s="231"/>
    </row>
    <row r="50">
      <c r="B50" s="231"/>
    </row>
    <row r="51">
      <c r="B51" s="231"/>
    </row>
    <row r="52">
      <c r="B52" s="231"/>
    </row>
    <row r="53">
      <c r="B53" s="231"/>
    </row>
    <row r="54">
      <c r="B54" s="231"/>
    </row>
    <row r="55">
      <c r="B55" s="231"/>
    </row>
    <row r="56">
      <c r="B56" s="231"/>
    </row>
    <row r="57">
      <c r="B57" s="231"/>
    </row>
    <row r="58">
      <c r="B58" s="231"/>
    </row>
    <row r="59">
      <c r="B59" s="231"/>
    </row>
    <row r="60">
      <c r="B60" s="231"/>
    </row>
    <row r="61">
      <c r="B61" s="231"/>
    </row>
    <row r="62">
      <c r="B62" s="231"/>
    </row>
    <row r="63">
      <c r="B63" s="231"/>
    </row>
    <row r="64">
      <c r="B64" s="231"/>
    </row>
    <row r="65">
      <c r="B65" s="231"/>
    </row>
    <row r="66">
      <c r="B66" s="231"/>
    </row>
    <row r="67">
      <c r="B67" s="231"/>
    </row>
    <row r="68">
      <c r="B68" s="231"/>
    </row>
    <row r="69">
      <c r="B69" s="231"/>
    </row>
    <row r="70">
      <c r="B70" s="231"/>
    </row>
    <row r="71">
      <c r="B71" s="231"/>
    </row>
    <row r="72">
      <c r="B72" s="231"/>
    </row>
    <row r="73">
      <c r="B73" s="231"/>
    </row>
    <row r="74">
      <c r="B74" s="231"/>
    </row>
    <row r="75">
      <c r="B75" s="231"/>
    </row>
    <row r="76">
      <c r="B76" s="231"/>
    </row>
    <row r="77">
      <c r="B77" s="231"/>
    </row>
    <row r="78">
      <c r="B78" s="231"/>
    </row>
    <row r="79">
      <c r="B79" s="231"/>
    </row>
    <row r="80">
      <c r="B80" s="231"/>
    </row>
    <row r="81">
      <c r="B81" s="231"/>
    </row>
    <row r="82">
      <c r="B82" s="231"/>
    </row>
    <row r="83">
      <c r="B83" s="231"/>
    </row>
    <row r="84">
      <c r="B84" s="231"/>
    </row>
    <row r="85">
      <c r="B85" s="231"/>
    </row>
    <row r="86">
      <c r="B86" s="231"/>
    </row>
    <row r="87">
      <c r="B87" s="231"/>
    </row>
    <row r="88">
      <c r="B88" s="231"/>
    </row>
    <row r="89">
      <c r="B89" s="231"/>
    </row>
    <row r="90">
      <c r="B90" s="231"/>
    </row>
    <row r="91">
      <c r="B91" s="231"/>
    </row>
    <row r="92">
      <c r="B92" s="231"/>
    </row>
    <row r="93">
      <c r="B93" s="231"/>
    </row>
    <row r="94">
      <c r="B94" s="231"/>
    </row>
    <row r="95">
      <c r="B95" s="231"/>
    </row>
    <row r="96">
      <c r="B96" s="231"/>
    </row>
    <row r="97">
      <c r="B97" s="231"/>
    </row>
    <row r="98">
      <c r="B98" s="231"/>
    </row>
    <row r="99">
      <c r="B99" s="231"/>
    </row>
    <row r="100">
      <c r="B100" s="231"/>
    </row>
    <row r="101">
      <c r="B101" s="231"/>
    </row>
    <row r="102">
      <c r="B102" s="231"/>
    </row>
    <row r="103">
      <c r="B103" s="231"/>
    </row>
    <row r="104">
      <c r="B104" s="231"/>
    </row>
    <row r="105">
      <c r="B105" s="231"/>
    </row>
    <row r="106">
      <c r="B106" s="231"/>
    </row>
    <row r="107">
      <c r="B107" s="231"/>
    </row>
    <row r="108">
      <c r="B108" s="231"/>
    </row>
    <row r="109">
      <c r="B109" s="231"/>
    </row>
    <row r="110">
      <c r="B110" s="231"/>
    </row>
    <row r="111">
      <c r="B111" s="231"/>
    </row>
    <row r="112">
      <c r="B112" s="231"/>
    </row>
    <row r="113">
      <c r="B113" s="231"/>
    </row>
    <row r="114">
      <c r="B114" s="231"/>
    </row>
    <row r="115">
      <c r="B115" s="231"/>
    </row>
    <row r="116">
      <c r="B116" s="231"/>
    </row>
    <row r="117">
      <c r="B117" s="231"/>
    </row>
    <row r="118">
      <c r="B118" s="231"/>
    </row>
    <row r="119">
      <c r="B119" s="231"/>
    </row>
    <row r="120">
      <c r="B120" s="231"/>
    </row>
    <row r="121">
      <c r="B121" s="231"/>
    </row>
    <row r="122">
      <c r="B122" s="231"/>
    </row>
    <row r="123">
      <c r="B123" s="231"/>
    </row>
    <row r="124">
      <c r="B124" s="231"/>
    </row>
    <row r="125">
      <c r="B125" s="231"/>
    </row>
    <row r="126">
      <c r="B126" s="231"/>
    </row>
    <row r="127">
      <c r="B127" s="231"/>
    </row>
    <row r="128">
      <c r="B128" s="231"/>
    </row>
    <row r="129">
      <c r="B129" s="231"/>
    </row>
    <row r="130">
      <c r="B130" s="231"/>
    </row>
    <row r="131">
      <c r="B131" s="231"/>
    </row>
    <row r="132">
      <c r="B132" s="231"/>
    </row>
    <row r="133">
      <c r="B133" s="231"/>
    </row>
    <row r="134">
      <c r="B134" s="231"/>
    </row>
    <row r="135">
      <c r="B135" s="231"/>
    </row>
    <row r="136">
      <c r="B136" s="231"/>
    </row>
    <row r="137">
      <c r="B137" s="231"/>
    </row>
    <row r="138">
      <c r="B138" s="231"/>
    </row>
    <row r="139">
      <c r="B139" s="231"/>
    </row>
    <row r="140">
      <c r="B140" s="231"/>
    </row>
    <row r="141">
      <c r="B141" s="231"/>
    </row>
    <row r="142">
      <c r="B142" s="231"/>
    </row>
    <row r="143">
      <c r="B143" s="231"/>
    </row>
    <row r="144">
      <c r="B144" s="231"/>
    </row>
    <row r="145">
      <c r="B145" s="231"/>
    </row>
    <row r="146">
      <c r="B146" s="231"/>
    </row>
    <row r="147">
      <c r="B147" s="231"/>
    </row>
    <row r="148">
      <c r="B148" s="231"/>
    </row>
    <row r="149">
      <c r="B149" s="231"/>
    </row>
    <row r="150">
      <c r="B150" s="231"/>
    </row>
    <row r="151">
      <c r="B151" s="231"/>
    </row>
    <row r="152">
      <c r="B152" s="231"/>
    </row>
    <row r="153">
      <c r="B153" s="231"/>
    </row>
    <row r="154">
      <c r="B154" s="231"/>
    </row>
    <row r="155">
      <c r="B155" s="231"/>
    </row>
    <row r="156">
      <c r="B156" s="231"/>
    </row>
    <row r="157">
      <c r="B157" s="231"/>
    </row>
    <row r="158">
      <c r="B158" s="231"/>
    </row>
    <row r="159">
      <c r="B159" s="231"/>
    </row>
    <row r="160">
      <c r="B160" s="231"/>
    </row>
    <row r="161">
      <c r="B161" s="231"/>
    </row>
    <row r="162">
      <c r="B162" s="231"/>
    </row>
    <row r="163">
      <c r="B163" s="231"/>
    </row>
    <row r="164">
      <c r="B164" s="231"/>
    </row>
    <row r="165">
      <c r="B165" s="231"/>
    </row>
    <row r="166">
      <c r="B166" s="231"/>
    </row>
    <row r="167">
      <c r="B167" s="231"/>
    </row>
    <row r="168">
      <c r="B168" s="231"/>
    </row>
    <row r="169">
      <c r="B169" s="231"/>
    </row>
    <row r="170">
      <c r="B170" s="231"/>
    </row>
    <row r="171">
      <c r="B171" s="231"/>
    </row>
    <row r="172">
      <c r="B172" s="231"/>
    </row>
    <row r="173">
      <c r="B173" s="231"/>
    </row>
    <row r="174">
      <c r="B174" s="231"/>
    </row>
    <row r="175">
      <c r="B175" s="231"/>
    </row>
    <row r="176">
      <c r="B176" s="231"/>
    </row>
    <row r="177">
      <c r="B177" s="231"/>
    </row>
    <row r="178">
      <c r="B178" s="231"/>
    </row>
    <row r="179">
      <c r="B179" s="231"/>
    </row>
    <row r="180">
      <c r="B180" s="231"/>
    </row>
    <row r="181">
      <c r="B181" s="231"/>
    </row>
    <row r="182">
      <c r="B182" s="231"/>
    </row>
    <row r="183">
      <c r="B183" s="231"/>
    </row>
    <row r="184">
      <c r="B184" s="231"/>
    </row>
    <row r="185">
      <c r="B185" s="231"/>
    </row>
    <row r="186">
      <c r="B186" s="231"/>
    </row>
    <row r="187">
      <c r="B187" s="231"/>
    </row>
    <row r="188">
      <c r="B188" s="231"/>
    </row>
    <row r="189">
      <c r="B189" s="231"/>
    </row>
    <row r="190">
      <c r="B190" s="231"/>
    </row>
    <row r="191">
      <c r="B191" s="231"/>
    </row>
    <row r="192">
      <c r="B192" s="231"/>
    </row>
    <row r="193">
      <c r="B193" s="231"/>
    </row>
    <row r="194">
      <c r="B194" s="231"/>
    </row>
    <row r="195">
      <c r="B195" s="231"/>
    </row>
    <row r="196">
      <c r="B196" s="231"/>
    </row>
    <row r="197">
      <c r="B197" s="231"/>
    </row>
    <row r="198">
      <c r="B198" s="231"/>
    </row>
    <row r="199">
      <c r="B199" s="231"/>
    </row>
    <row r="200">
      <c r="B200" s="231"/>
    </row>
    <row r="201">
      <c r="B201" s="231"/>
    </row>
    <row r="202">
      <c r="B202" s="231"/>
    </row>
    <row r="203">
      <c r="B203" s="231"/>
    </row>
    <row r="204">
      <c r="B204" s="231"/>
    </row>
    <row r="205">
      <c r="B205" s="231"/>
    </row>
    <row r="206">
      <c r="B206" s="231"/>
    </row>
    <row r="207">
      <c r="B207" s="231"/>
    </row>
    <row r="208">
      <c r="B208" s="231"/>
    </row>
    <row r="209">
      <c r="B209" s="231"/>
    </row>
    <row r="210">
      <c r="B210" s="231"/>
    </row>
    <row r="211">
      <c r="B211" s="231"/>
    </row>
    <row r="212">
      <c r="B212" s="231"/>
    </row>
    <row r="213">
      <c r="B213" s="231"/>
    </row>
    <row r="214">
      <c r="B214" s="231"/>
    </row>
    <row r="215">
      <c r="B215" s="231"/>
    </row>
    <row r="216">
      <c r="B216" s="231"/>
    </row>
    <row r="217">
      <c r="B217" s="231"/>
    </row>
    <row r="218">
      <c r="B218" s="231"/>
    </row>
    <row r="219">
      <c r="B219" s="231"/>
    </row>
    <row r="220">
      <c r="B220" s="231"/>
    </row>
    <row r="221">
      <c r="B221" s="231"/>
    </row>
    <row r="222">
      <c r="B222" s="231"/>
    </row>
    <row r="223">
      <c r="B223" s="231"/>
    </row>
    <row r="224">
      <c r="B224" s="231"/>
    </row>
    <row r="225">
      <c r="B225" s="231"/>
    </row>
    <row r="226">
      <c r="B226" s="231"/>
    </row>
    <row r="227">
      <c r="B227" s="231"/>
    </row>
    <row r="228">
      <c r="B228" s="231"/>
    </row>
    <row r="229">
      <c r="B229" s="231"/>
    </row>
    <row r="230">
      <c r="B230" s="231"/>
    </row>
    <row r="231">
      <c r="B231" s="231"/>
    </row>
    <row r="232">
      <c r="B232" s="231"/>
    </row>
    <row r="233">
      <c r="B233" s="231"/>
    </row>
    <row r="234">
      <c r="B234" s="231"/>
    </row>
    <row r="235">
      <c r="B235" s="231"/>
    </row>
    <row r="236">
      <c r="B236" s="231"/>
    </row>
    <row r="237">
      <c r="B237" s="231"/>
    </row>
    <row r="238">
      <c r="B238" s="231"/>
    </row>
    <row r="239">
      <c r="B239" s="231"/>
    </row>
    <row r="240">
      <c r="B240" s="231"/>
    </row>
    <row r="241">
      <c r="B241" s="231"/>
    </row>
    <row r="242">
      <c r="B242" s="231"/>
    </row>
    <row r="243">
      <c r="B243" s="231"/>
    </row>
    <row r="244">
      <c r="B244" s="231"/>
    </row>
    <row r="245">
      <c r="B245" s="231"/>
    </row>
    <row r="246">
      <c r="B246" s="231"/>
    </row>
    <row r="247">
      <c r="B247" s="231"/>
    </row>
    <row r="248">
      <c r="B248" s="231"/>
    </row>
    <row r="249">
      <c r="B249" s="231"/>
    </row>
    <row r="250">
      <c r="B250" s="231"/>
    </row>
    <row r="251">
      <c r="B251" s="231"/>
    </row>
    <row r="252">
      <c r="B252" s="231"/>
    </row>
    <row r="253">
      <c r="B253" s="231"/>
    </row>
    <row r="254">
      <c r="B254" s="231"/>
    </row>
    <row r="255">
      <c r="B255" s="231"/>
    </row>
    <row r="256">
      <c r="B256" s="231"/>
    </row>
    <row r="257">
      <c r="B257" s="231"/>
    </row>
    <row r="258">
      <c r="B258" s="231"/>
    </row>
    <row r="259">
      <c r="B259" s="231"/>
    </row>
    <row r="260">
      <c r="B260" s="231"/>
    </row>
    <row r="261">
      <c r="B261" s="231"/>
    </row>
    <row r="262">
      <c r="B262" s="231"/>
    </row>
    <row r="263">
      <c r="B263" s="231"/>
    </row>
    <row r="264">
      <c r="B264" s="231"/>
    </row>
    <row r="265">
      <c r="B265" s="231"/>
    </row>
    <row r="266">
      <c r="B266" s="231"/>
    </row>
    <row r="267">
      <c r="B267" s="231"/>
    </row>
    <row r="268">
      <c r="B268" s="231"/>
    </row>
    <row r="269">
      <c r="B269" s="231"/>
    </row>
    <row r="270">
      <c r="B270" s="231"/>
    </row>
    <row r="271">
      <c r="B271" s="231"/>
    </row>
    <row r="272">
      <c r="B272" s="231"/>
    </row>
    <row r="273">
      <c r="B273" s="231"/>
    </row>
    <row r="274">
      <c r="B274" s="231"/>
    </row>
    <row r="275">
      <c r="B275" s="231"/>
    </row>
    <row r="276">
      <c r="B276" s="231"/>
    </row>
    <row r="277">
      <c r="B277" s="231"/>
    </row>
    <row r="278">
      <c r="B278" s="231"/>
    </row>
    <row r="279">
      <c r="B279" s="231"/>
    </row>
    <row r="280">
      <c r="B280" s="231"/>
    </row>
    <row r="281">
      <c r="B281" s="231"/>
    </row>
    <row r="282">
      <c r="B282" s="231"/>
    </row>
    <row r="283">
      <c r="B283" s="231"/>
    </row>
    <row r="284">
      <c r="B284" s="231"/>
    </row>
    <row r="285">
      <c r="B285" s="231"/>
    </row>
    <row r="286">
      <c r="B286" s="231"/>
    </row>
    <row r="287">
      <c r="B287" s="231"/>
    </row>
    <row r="288">
      <c r="B288" s="231"/>
    </row>
    <row r="289">
      <c r="B289" s="231"/>
    </row>
    <row r="290">
      <c r="B290" s="231"/>
    </row>
    <row r="291">
      <c r="B291" s="231"/>
    </row>
    <row r="292">
      <c r="B292" s="231"/>
    </row>
    <row r="293">
      <c r="B293" s="231"/>
    </row>
    <row r="294">
      <c r="B294" s="231"/>
    </row>
    <row r="295">
      <c r="B295" s="231"/>
    </row>
    <row r="296">
      <c r="B296" s="231"/>
    </row>
    <row r="297">
      <c r="B297" s="231"/>
    </row>
    <row r="298">
      <c r="B298" s="231"/>
    </row>
    <row r="299">
      <c r="B299" s="231"/>
    </row>
    <row r="300">
      <c r="B300" s="231"/>
    </row>
    <row r="301">
      <c r="B301" s="231"/>
    </row>
    <row r="302">
      <c r="B302" s="231"/>
    </row>
    <row r="303">
      <c r="B303" s="231"/>
    </row>
    <row r="304">
      <c r="B304" s="231"/>
    </row>
    <row r="305">
      <c r="B305" s="231"/>
    </row>
    <row r="306">
      <c r="B306" s="231"/>
    </row>
    <row r="307">
      <c r="B307" s="231"/>
    </row>
    <row r="308">
      <c r="B308" s="231"/>
    </row>
    <row r="309">
      <c r="B309" s="231"/>
    </row>
    <row r="310">
      <c r="B310" s="231"/>
    </row>
    <row r="311">
      <c r="B311" s="231"/>
    </row>
    <row r="312">
      <c r="B312" s="231"/>
    </row>
    <row r="313">
      <c r="B313" s="231"/>
    </row>
    <row r="314">
      <c r="B314" s="231"/>
    </row>
    <row r="315">
      <c r="B315" s="231"/>
    </row>
    <row r="316">
      <c r="B316" s="231"/>
    </row>
    <row r="317">
      <c r="B317" s="231"/>
    </row>
    <row r="318">
      <c r="B318" s="231"/>
    </row>
    <row r="319">
      <c r="B319" s="231"/>
    </row>
    <row r="320">
      <c r="B320" s="231"/>
    </row>
    <row r="321">
      <c r="B321" s="231"/>
    </row>
    <row r="322">
      <c r="B322" s="231"/>
    </row>
    <row r="323">
      <c r="B323" s="231"/>
    </row>
    <row r="324">
      <c r="B324" s="231"/>
    </row>
    <row r="325">
      <c r="B325" s="231"/>
    </row>
    <row r="326">
      <c r="B326" s="231"/>
    </row>
    <row r="327">
      <c r="B327" s="231"/>
    </row>
    <row r="328">
      <c r="B328" s="231"/>
    </row>
    <row r="329">
      <c r="B329" s="231"/>
    </row>
    <row r="330">
      <c r="B330" s="231"/>
    </row>
    <row r="331">
      <c r="B331" s="231"/>
    </row>
    <row r="332">
      <c r="B332" s="231"/>
    </row>
    <row r="333">
      <c r="B333" s="231"/>
    </row>
    <row r="334">
      <c r="B334" s="231"/>
    </row>
    <row r="335">
      <c r="B335" s="231"/>
    </row>
    <row r="336">
      <c r="B336" s="231"/>
    </row>
    <row r="337">
      <c r="B337" s="231"/>
    </row>
    <row r="338">
      <c r="B338" s="231"/>
    </row>
    <row r="339">
      <c r="B339" s="231"/>
    </row>
    <row r="340">
      <c r="B340" s="231"/>
    </row>
    <row r="341">
      <c r="B341" s="231"/>
    </row>
    <row r="342">
      <c r="B342" s="231"/>
    </row>
    <row r="343">
      <c r="B343" s="231"/>
    </row>
    <row r="344">
      <c r="B344" s="231"/>
    </row>
    <row r="345">
      <c r="B345" s="231"/>
    </row>
    <row r="346">
      <c r="B346" s="231"/>
    </row>
    <row r="347">
      <c r="B347" s="231"/>
    </row>
    <row r="348">
      <c r="B348" s="231"/>
    </row>
    <row r="349">
      <c r="B349" s="231"/>
    </row>
    <row r="350">
      <c r="B350" s="231"/>
    </row>
    <row r="351">
      <c r="B351" s="231"/>
    </row>
    <row r="352">
      <c r="B352" s="231"/>
    </row>
    <row r="353">
      <c r="B353" s="231"/>
    </row>
    <row r="354">
      <c r="B354" s="231"/>
    </row>
    <row r="355">
      <c r="B355" s="231"/>
    </row>
    <row r="356">
      <c r="B356" s="231"/>
    </row>
    <row r="357">
      <c r="B357" s="231"/>
    </row>
    <row r="358">
      <c r="B358" s="231"/>
    </row>
    <row r="359">
      <c r="B359" s="231"/>
    </row>
    <row r="360">
      <c r="B360" s="231"/>
    </row>
    <row r="361">
      <c r="B361" s="231"/>
    </row>
    <row r="362">
      <c r="B362" s="231"/>
    </row>
    <row r="363">
      <c r="B363" s="231"/>
    </row>
    <row r="364">
      <c r="B364" s="231"/>
    </row>
    <row r="365">
      <c r="B365" s="231"/>
    </row>
    <row r="366">
      <c r="B366" s="231"/>
    </row>
    <row r="367">
      <c r="B367" s="231"/>
    </row>
    <row r="368">
      <c r="B368" s="231"/>
    </row>
    <row r="369">
      <c r="B369" s="231"/>
    </row>
    <row r="370">
      <c r="B370" s="231"/>
    </row>
    <row r="371">
      <c r="B371" s="231"/>
    </row>
    <row r="372">
      <c r="B372" s="231"/>
    </row>
    <row r="373">
      <c r="B373" s="231"/>
    </row>
    <row r="374">
      <c r="B374" s="231"/>
    </row>
    <row r="375">
      <c r="B375" s="231"/>
    </row>
    <row r="376">
      <c r="B376" s="231"/>
    </row>
    <row r="377">
      <c r="B377" s="231"/>
    </row>
    <row r="378">
      <c r="B378" s="231"/>
    </row>
    <row r="379">
      <c r="B379" s="231"/>
    </row>
    <row r="380">
      <c r="B380" s="231"/>
    </row>
    <row r="381">
      <c r="B381" s="231"/>
    </row>
    <row r="382">
      <c r="B382" s="231"/>
    </row>
    <row r="383">
      <c r="B383" s="231"/>
    </row>
    <row r="384">
      <c r="B384" s="231"/>
    </row>
    <row r="385">
      <c r="B385" s="231"/>
    </row>
    <row r="386">
      <c r="B386" s="231"/>
    </row>
    <row r="387">
      <c r="B387" s="231"/>
    </row>
    <row r="388">
      <c r="B388" s="231"/>
    </row>
    <row r="389">
      <c r="B389" s="231"/>
    </row>
    <row r="390">
      <c r="B390" s="231"/>
    </row>
    <row r="391">
      <c r="B391" s="231"/>
    </row>
    <row r="392">
      <c r="B392" s="231"/>
    </row>
    <row r="393">
      <c r="B393" s="231"/>
    </row>
    <row r="394">
      <c r="B394" s="231"/>
    </row>
    <row r="395">
      <c r="B395" s="231"/>
    </row>
    <row r="396">
      <c r="B396" s="231"/>
    </row>
    <row r="397">
      <c r="B397" s="231"/>
    </row>
    <row r="398">
      <c r="B398" s="231"/>
    </row>
    <row r="399">
      <c r="B399" s="231"/>
    </row>
    <row r="400">
      <c r="B400" s="231"/>
    </row>
    <row r="401">
      <c r="B401" s="231"/>
    </row>
    <row r="402">
      <c r="B402" s="231"/>
    </row>
    <row r="403">
      <c r="B403" s="231"/>
    </row>
    <row r="404">
      <c r="B404" s="231"/>
    </row>
    <row r="405">
      <c r="B405" s="231"/>
    </row>
    <row r="406">
      <c r="B406" s="231"/>
    </row>
    <row r="407">
      <c r="B407" s="231"/>
    </row>
    <row r="408">
      <c r="B408" s="231"/>
    </row>
    <row r="409">
      <c r="B409" s="231"/>
    </row>
    <row r="410">
      <c r="B410" s="231"/>
    </row>
    <row r="411">
      <c r="B411" s="231"/>
    </row>
    <row r="412">
      <c r="B412" s="231"/>
    </row>
    <row r="413">
      <c r="B413" s="231"/>
    </row>
    <row r="414">
      <c r="B414" s="231"/>
    </row>
    <row r="415">
      <c r="B415" s="231"/>
    </row>
    <row r="416">
      <c r="B416" s="231"/>
    </row>
    <row r="417">
      <c r="B417" s="231"/>
    </row>
    <row r="418">
      <c r="B418" s="231"/>
    </row>
    <row r="419">
      <c r="B419" s="231"/>
    </row>
    <row r="420">
      <c r="B420" s="231"/>
    </row>
    <row r="421">
      <c r="B421" s="231"/>
    </row>
    <row r="422">
      <c r="B422" s="231"/>
    </row>
    <row r="423">
      <c r="B423" s="231"/>
    </row>
    <row r="424">
      <c r="B424" s="231"/>
    </row>
    <row r="425">
      <c r="B425" s="231"/>
    </row>
    <row r="426">
      <c r="B426" s="231"/>
    </row>
    <row r="427">
      <c r="B427" s="231"/>
    </row>
    <row r="428">
      <c r="B428" s="231"/>
    </row>
    <row r="429">
      <c r="B429" s="231"/>
    </row>
    <row r="430">
      <c r="B430" s="231"/>
    </row>
    <row r="431">
      <c r="B431" s="231"/>
    </row>
    <row r="432">
      <c r="B432" s="231"/>
    </row>
    <row r="433">
      <c r="B433" s="231"/>
    </row>
    <row r="434">
      <c r="B434" s="231"/>
    </row>
    <row r="435">
      <c r="B435" s="231"/>
    </row>
    <row r="436">
      <c r="B436" s="231"/>
    </row>
    <row r="437">
      <c r="B437" s="231"/>
    </row>
    <row r="438">
      <c r="B438" s="231"/>
    </row>
    <row r="439">
      <c r="B439" s="231"/>
    </row>
    <row r="440">
      <c r="B440" s="231"/>
    </row>
    <row r="441">
      <c r="B441" s="231"/>
    </row>
    <row r="442">
      <c r="B442" s="231"/>
    </row>
    <row r="443">
      <c r="B443" s="231"/>
    </row>
    <row r="444">
      <c r="B444" s="231"/>
    </row>
    <row r="445">
      <c r="B445" s="231"/>
    </row>
    <row r="446">
      <c r="B446" s="231"/>
    </row>
    <row r="447">
      <c r="B447" s="231"/>
    </row>
    <row r="448">
      <c r="B448" s="231"/>
    </row>
    <row r="449">
      <c r="B449" s="231"/>
    </row>
    <row r="450">
      <c r="B450" s="231"/>
    </row>
    <row r="451">
      <c r="B451" s="231"/>
    </row>
    <row r="452">
      <c r="B452" s="231"/>
    </row>
    <row r="453">
      <c r="B453" s="231"/>
    </row>
    <row r="454">
      <c r="B454" s="231"/>
    </row>
    <row r="455">
      <c r="B455" s="231"/>
    </row>
    <row r="456">
      <c r="B456" s="231"/>
    </row>
    <row r="457">
      <c r="B457" s="231"/>
    </row>
    <row r="458">
      <c r="B458" s="231"/>
    </row>
    <row r="459">
      <c r="B459" s="231"/>
    </row>
    <row r="460">
      <c r="B460" s="231"/>
    </row>
    <row r="461">
      <c r="B461" s="231"/>
    </row>
    <row r="462">
      <c r="B462" s="231"/>
    </row>
    <row r="463">
      <c r="B463" s="231"/>
    </row>
    <row r="464">
      <c r="B464" s="231"/>
    </row>
    <row r="465">
      <c r="B465" s="231"/>
    </row>
    <row r="466">
      <c r="B466" s="231"/>
    </row>
    <row r="467">
      <c r="B467" s="231"/>
    </row>
    <row r="468">
      <c r="B468" s="231"/>
    </row>
    <row r="469">
      <c r="B469" s="231"/>
    </row>
    <row r="470">
      <c r="B470" s="231"/>
    </row>
    <row r="471">
      <c r="B471" s="231"/>
    </row>
    <row r="472">
      <c r="B472" s="231"/>
    </row>
    <row r="473">
      <c r="B473" s="231"/>
    </row>
    <row r="474">
      <c r="B474" s="231"/>
    </row>
    <row r="475">
      <c r="B475" s="231"/>
    </row>
    <row r="476">
      <c r="B476" s="231"/>
    </row>
    <row r="477">
      <c r="B477" s="231"/>
    </row>
    <row r="478">
      <c r="B478" s="231"/>
    </row>
    <row r="479">
      <c r="B479" s="231"/>
    </row>
    <row r="480">
      <c r="B480" s="231"/>
    </row>
    <row r="481">
      <c r="B481" s="231"/>
    </row>
    <row r="482">
      <c r="B482" s="231"/>
    </row>
    <row r="483">
      <c r="B483" s="231"/>
    </row>
    <row r="484">
      <c r="B484" s="231"/>
    </row>
    <row r="485">
      <c r="B485" s="231"/>
    </row>
    <row r="486">
      <c r="B486" s="231"/>
    </row>
    <row r="487">
      <c r="B487" s="231"/>
    </row>
    <row r="488">
      <c r="B488" s="231"/>
    </row>
    <row r="489">
      <c r="B489" s="231"/>
    </row>
    <row r="490">
      <c r="B490" s="231"/>
    </row>
    <row r="491">
      <c r="B491" s="231"/>
    </row>
    <row r="492">
      <c r="B492" s="231"/>
    </row>
    <row r="493">
      <c r="B493" s="231"/>
    </row>
    <row r="494">
      <c r="B494" s="231"/>
    </row>
    <row r="495">
      <c r="B495" s="231"/>
    </row>
    <row r="496">
      <c r="B496" s="231"/>
    </row>
    <row r="497">
      <c r="B497" s="231"/>
    </row>
    <row r="498">
      <c r="B498" s="231"/>
    </row>
    <row r="499">
      <c r="B499" s="231"/>
    </row>
    <row r="500">
      <c r="B500" s="231"/>
    </row>
    <row r="501">
      <c r="B501" s="231"/>
    </row>
    <row r="502">
      <c r="B502" s="231"/>
    </row>
    <row r="503">
      <c r="B503" s="231"/>
    </row>
    <row r="504">
      <c r="B504" s="231"/>
    </row>
    <row r="505">
      <c r="B505" s="231"/>
    </row>
    <row r="506">
      <c r="B506" s="231"/>
    </row>
    <row r="507">
      <c r="B507" s="231"/>
    </row>
    <row r="508">
      <c r="B508" s="231"/>
    </row>
    <row r="509">
      <c r="B509" s="231"/>
    </row>
    <row r="510">
      <c r="B510" s="231"/>
    </row>
    <row r="511">
      <c r="B511" s="231"/>
    </row>
    <row r="512">
      <c r="B512" s="231"/>
    </row>
    <row r="513">
      <c r="B513" s="231"/>
    </row>
    <row r="514">
      <c r="B514" s="231"/>
    </row>
    <row r="515">
      <c r="B515" s="231"/>
    </row>
    <row r="516">
      <c r="B516" s="231"/>
    </row>
    <row r="517">
      <c r="B517" s="231"/>
    </row>
    <row r="518">
      <c r="B518" s="231"/>
    </row>
    <row r="519">
      <c r="B519" s="231"/>
    </row>
    <row r="520">
      <c r="B520" s="231"/>
    </row>
    <row r="521">
      <c r="B521" s="231"/>
    </row>
    <row r="522">
      <c r="B522" s="231"/>
    </row>
    <row r="523">
      <c r="B523" s="231"/>
    </row>
    <row r="524">
      <c r="B524" s="231"/>
    </row>
    <row r="525">
      <c r="B525" s="231"/>
    </row>
    <row r="526">
      <c r="B526" s="231"/>
    </row>
    <row r="527">
      <c r="B527" s="231"/>
    </row>
    <row r="528">
      <c r="B528" s="231"/>
    </row>
    <row r="529">
      <c r="B529" s="231"/>
    </row>
    <row r="530">
      <c r="B530" s="231"/>
    </row>
    <row r="531">
      <c r="B531" s="231"/>
    </row>
    <row r="532">
      <c r="B532" s="231"/>
    </row>
    <row r="533">
      <c r="B533" s="231"/>
    </row>
    <row r="534">
      <c r="B534" s="231"/>
    </row>
    <row r="535">
      <c r="B535" s="231"/>
    </row>
    <row r="536">
      <c r="B536" s="231"/>
    </row>
    <row r="537">
      <c r="B537" s="231"/>
    </row>
    <row r="538">
      <c r="B538" s="231"/>
    </row>
    <row r="539">
      <c r="B539" s="231"/>
    </row>
    <row r="540">
      <c r="B540" s="231"/>
    </row>
    <row r="541">
      <c r="B541" s="231"/>
    </row>
    <row r="542">
      <c r="B542" s="231"/>
    </row>
    <row r="543">
      <c r="B543" s="231"/>
    </row>
    <row r="544">
      <c r="B544" s="231"/>
    </row>
    <row r="545">
      <c r="B545" s="231"/>
    </row>
    <row r="546">
      <c r="B546" s="231"/>
    </row>
    <row r="547">
      <c r="B547" s="231"/>
    </row>
    <row r="548">
      <c r="B548" s="231"/>
    </row>
    <row r="549">
      <c r="B549" s="231"/>
    </row>
    <row r="550">
      <c r="B550" s="231"/>
    </row>
    <row r="551">
      <c r="B551" s="231"/>
    </row>
    <row r="552">
      <c r="B552" s="231"/>
    </row>
    <row r="553">
      <c r="B553" s="231"/>
    </row>
    <row r="554">
      <c r="B554" s="231"/>
    </row>
    <row r="555">
      <c r="B555" s="231"/>
    </row>
    <row r="556">
      <c r="B556" s="231"/>
    </row>
    <row r="557">
      <c r="B557" s="231"/>
    </row>
    <row r="558">
      <c r="B558" s="231"/>
    </row>
    <row r="559">
      <c r="B559" s="231"/>
    </row>
    <row r="560">
      <c r="B560" s="231"/>
    </row>
    <row r="561">
      <c r="B561" s="231"/>
    </row>
    <row r="562">
      <c r="B562" s="231"/>
    </row>
    <row r="563">
      <c r="B563" s="231"/>
    </row>
    <row r="564">
      <c r="B564" s="231"/>
    </row>
    <row r="565">
      <c r="B565" s="231"/>
    </row>
    <row r="566">
      <c r="B566" s="231"/>
    </row>
    <row r="567">
      <c r="B567" s="231"/>
    </row>
    <row r="568">
      <c r="B568" s="231"/>
    </row>
    <row r="569">
      <c r="B569" s="231"/>
    </row>
    <row r="570">
      <c r="B570" s="231"/>
    </row>
    <row r="571">
      <c r="B571" s="231"/>
    </row>
    <row r="572">
      <c r="B572" s="231"/>
    </row>
    <row r="573">
      <c r="B573" s="231"/>
    </row>
    <row r="574">
      <c r="B574" s="231"/>
    </row>
    <row r="575">
      <c r="B575" s="231"/>
    </row>
    <row r="576">
      <c r="B576" s="231"/>
    </row>
    <row r="577">
      <c r="B577" s="231"/>
    </row>
    <row r="578">
      <c r="B578" s="231"/>
    </row>
    <row r="579">
      <c r="B579" s="231"/>
    </row>
    <row r="580">
      <c r="B580" s="231"/>
    </row>
    <row r="581">
      <c r="B581" s="231"/>
    </row>
    <row r="582">
      <c r="B582" s="231"/>
    </row>
    <row r="583">
      <c r="B583" s="231"/>
    </row>
    <row r="584">
      <c r="B584" s="231"/>
    </row>
    <row r="585">
      <c r="B585" s="231"/>
    </row>
    <row r="586">
      <c r="B586" s="231"/>
    </row>
    <row r="587">
      <c r="B587" s="231"/>
    </row>
    <row r="588">
      <c r="B588" s="231"/>
    </row>
    <row r="589">
      <c r="B589" s="231"/>
    </row>
    <row r="590">
      <c r="B590" s="231"/>
    </row>
    <row r="591">
      <c r="B591" s="231"/>
    </row>
    <row r="592">
      <c r="B592" s="231"/>
    </row>
    <row r="593">
      <c r="B593" s="231"/>
    </row>
    <row r="594">
      <c r="B594" s="231"/>
    </row>
    <row r="595">
      <c r="B595" s="231"/>
    </row>
    <row r="596">
      <c r="B596" s="231"/>
    </row>
    <row r="597">
      <c r="B597" s="231"/>
    </row>
    <row r="598">
      <c r="B598" s="231"/>
    </row>
    <row r="599">
      <c r="B599" s="231"/>
    </row>
    <row r="600">
      <c r="B600" s="231"/>
    </row>
    <row r="601">
      <c r="B601" s="231"/>
    </row>
    <row r="602">
      <c r="B602" s="231"/>
    </row>
    <row r="603">
      <c r="B603" s="231"/>
    </row>
    <row r="604">
      <c r="B604" s="231"/>
    </row>
    <row r="605">
      <c r="B605" s="231"/>
    </row>
    <row r="606">
      <c r="B606" s="231"/>
    </row>
    <row r="607">
      <c r="B607" s="231"/>
    </row>
    <row r="608">
      <c r="B608" s="231"/>
    </row>
    <row r="609">
      <c r="B609" s="231"/>
    </row>
    <row r="610">
      <c r="B610" s="231"/>
    </row>
    <row r="611">
      <c r="B611" s="231"/>
    </row>
    <row r="612">
      <c r="B612" s="231"/>
    </row>
    <row r="613">
      <c r="B613" s="231"/>
    </row>
    <row r="614">
      <c r="B614" s="231"/>
    </row>
    <row r="615">
      <c r="B615" s="231"/>
    </row>
    <row r="616">
      <c r="B616" s="231"/>
    </row>
    <row r="617">
      <c r="B617" s="231"/>
    </row>
    <row r="618">
      <c r="B618" s="231"/>
    </row>
    <row r="619">
      <c r="B619" s="231"/>
    </row>
    <row r="620">
      <c r="B620" s="231"/>
    </row>
    <row r="621">
      <c r="B621" s="231"/>
    </row>
    <row r="622">
      <c r="B622" s="231"/>
    </row>
    <row r="623">
      <c r="B623" s="231"/>
    </row>
    <row r="624">
      <c r="B624" s="231"/>
    </row>
    <row r="625">
      <c r="B625" s="231"/>
    </row>
    <row r="626">
      <c r="B626" s="231"/>
    </row>
    <row r="627">
      <c r="B627" s="231"/>
    </row>
    <row r="628">
      <c r="B628" s="231"/>
    </row>
    <row r="629">
      <c r="B629" s="231"/>
    </row>
    <row r="630">
      <c r="B630" s="231"/>
    </row>
    <row r="631">
      <c r="B631" s="231"/>
    </row>
    <row r="632">
      <c r="B632" s="231"/>
    </row>
    <row r="633">
      <c r="B633" s="231"/>
    </row>
    <row r="634">
      <c r="B634" s="231"/>
    </row>
    <row r="635">
      <c r="B635" s="231"/>
    </row>
    <row r="636">
      <c r="B636" s="231"/>
    </row>
    <row r="637">
      <c r="B637" s="231"/>
    </row>
    <row r="638">
      <c r="B638" s="231"/>
    </row>
    <row r="639">
      <c r="B639" s="231"/>
    </row>
    <row r="640">
      <c r="B640" s="231"/>
    </row>
    <row r="641">
      <c r="B641" s="231"/>
    </row>
    <row r="642">
      <c r="B642" s="231"/>
    </row>
    <row r="643">
      <c r="B643" s="231"/>
    </row>
    <row r="644">
      <c r="B644" s="231"/>
    </row>
    <row r="645">
      <c r="B645" s="231"/>
    </row>
    <row r="646">
      <c r="B646" s="231"/>
    </row>
    <row r="647">
      <c r="B647" s="231"/>
    </row>
    <row r="648">
      <c r="B648" s="231"/>
    </row>
    <row r="649">
      <c r="B649" s="231"/>
    </row>
    <row r="650">
      <c r="B650" s="231"/>
    </row>
    <row r="651">
      <c r="B651" s="231"/>
    </row>
    <row r="652">
      <c r="B652" s="231"/>
    </row>
    <row r="653">
      <c r="B653" s="231"/>
    </row>
    <row r="654">
      <c r="B654" s="231"/>
    </row>
    <row r="655">
      <c r="B655" s="231"/>
    </row>
    <row r="656">
      <c r="B656" s="231"/>
    </row>
    <row r="657">
      <c r="B657" s="231"/>
    </row>
    <row r="658">
      <c r="B658" s="231"/>
    </row>
    <row r="659">
      <c r="B659" s="231"/>
    </row>
    <row r="660">
      <c r="B660" s="231"/>
    </row>
    <row r="661">
      <c r="B661" s="231"/>
    </row>
    <row r="662">
      <c r="B662" s="231"/>
    </row>
    <row r="663">
      <c r="B663" s="231"/>
    </row>
    <row r="664">
      <c r="B664" s="231"/>
    </row>
    <row r="665">
      <c r="B665" s="231"/>
    </row>
    <row r="666">
      <c r="B666" s="231"/>
    </row>
    <row r="667">
      <c r="B667" s="231"/>
    </row>
    <row r="668">
      <c r="B668" s="231"/>
    </row>
    <row r="669">
      <c r="B669" s="231"/>
    </row>
    <row r="670">
      <c r="B670" s="231"/>
    </row>
    <row r="671">
      <c r="B671" s="231"/>
    </row>
    <row r="672">
      <c r="B672" s="231"/>
    </row>
    <row r="673">
      <c r="B673" s="231"/>
    </row>
    <row r="674">
      <c r="B674" s="231"/>
    </row>
    <row r="675">
      <c r="B675" s="231"/>
    </row>
    <row r="676">
      <c r="B676" s="231"/>
    </row>
    <row r="677">
      <c r="B677" s="231"/>
    </row>
    <row r="678">
      <c r="B678" s="231"/>
    </row>
    <row r="679">
      <c r="B679" s="231"/>
    </row>
    <row r="680">
      <c r="B680" s="231"/>
    </row>
    <row r="681">
      <c r="B681" s="231"/>
    </row>
    <row r="682">
      <c r="B682" s="231"/>
    </row>
    <row r="683">
      <c r="B683" s="231"/>
    </row>
    <row r="684">
      <c r="B684" s="231"/>
    </row>
    <row r="685">
      <c r="B685" s="231"/>
    </row>
    <row r="686">
      <c r="B686" s="231"/>
    </row>
    <row r="687">
      <c r="B687" s="231"/>
    </row>
    <row r="688">
      <c r="B688" s="231"/>
    </row>
    <row r="689">
      <c r="B689" s="231"/>
    </row>
    <row r="690">
      <c r="B690" s="231"/>
    </row>
    <row r="691">
      <c r="B691" s="231"/>
    </row>
    <row r="692">
      <c r="B692" s="231"/>
    </row>
    <row r="693">
      <c r="B693" s="231"/>
    </row>
    <row r="694">
      <c r="B694" s="231"/>
    </row>
    <row r="695">
      <c r="B695" s="231"/>
    </row>
    <row r="696">
      <c r="B696" s="231"/>
    </row>
    <row r="697">
      <c r="B697" s="231"/>
    </row>
    <row r="698">
      <c r="B698" s="231"/>
    </row>
    <row r="699">
      <c r="B699" s="231"/>
    </row>
    <row r="700">
      <c r="B700" s="231"/>
    </row>
    <row r="701">
      <c r="B701" s="231"/>
    </row>
    <row r="702">
      <c r="B702" s="231"/>
    </row>
    <row r="703">
      <c r="B703" s="231"/>
    </row>
    <row r="704">
      <c r="B704" s="231"/>
    </row>
    <row r="705">
      <c r="B705" s="231"/>
    </row>
    <row r="706">
      <c r="B706" s="231"/>
    </row>
    <row r="707">
      <c r="B707" s="231"/>
    </row>
    <row r="708">
      <c r="B708" s="231"/>
    </row>
    <row r="709">
      <c r="B709" s="231"/>
    </row>
    <row r="710">
      <c r="B710" s="231"/>
    </row>
    <row r="711">
      <c r="B711" s="231"/>
    </row>
    <row r="712">
      <c r="B712" s="231"/>
    </row>
    <row r="713">
      <c r="B713" s="231"/>
    </row>
    <row r="714">
      <c r="B714" s="231"/>
    </row>
    <row r="715">
      <c r="B715" s="231"/>
    </row>
    <row r="716">
      <c r="B716" s="231"/>
    </row>
    <row r="717">
      <c r="B717" s="231"/>
    </row>
    <row r="718">
      <c r="B718" s="231"/>
    </row>
    <row r="719">
      <c r="B719" s="231"/>
    </row>
    <row r="720">
      <c r="B720" s="231"/>
    </row>
    <row r="721">
      <c r="B721" s="231"/>
    </row>
    <row r="722">
      <c r="B722" s="231"/>
    </row>
    <row r="723">
      <c r="B723" s="231"/>
    </row>
    <row r="724">
      <c r="B724" s="231"/>
    </row>
    <row r="725">
      <c r="B725" s="231"/>
    </row>
    <row r="726">
      <c r="B726" s="231"/>
    </row>
    <row r="727">
      <c r="B727" s="231"/>
    </row>
    <row r="728">
      <c r="B728" s="231"/>
    </row>
    <row r="729">
      <c r="B729" s="231"/>
    </row>
    <row r="730">
      <c r="B730" s="231"/>
    </row>
    <row r="731">
      <c r="B731" s="231"/>
    </row>
    <row r="732">
      <c r="B732" s="231"/>
    </row>
    <row r="733">
      <c r="B733" s="231"/>
    </row>
    <row r="734">
      <c r="B734" s="231"/>
    </row>
    <row r="735">
      <c r="B735" s="231"/>
    </row>
    <row r="736">
      <c r="B736" s="231"/>
    </row>
    <row r="737">
      <c r="B737" s="231"/>
    </row>
    <row r="738">
      <c r="B738" s="231"/>
    </row>
    <row r="739">
      <c r="B739" s="231"/>
    </row>
    <row r="740">
      <c r="B740" s="231"/>
    </row>
    <row r="741">
      <c r="B741" s="231"/>
    </row>
    <row r="742">
      <c r="B742" s="231"/>
    </row>
    <row r="743">
      <c r="B743" s="231"/>
    </row>
    <row r="744">
      <c r="B744" s="231"/>
    </row>
    <row r="745">
      <c r="B745" s="231"/>
    </row>
    <row r="746">
      <c r="B746" s="231"/>
    </row>
    <row r="747">
      <c r="B747" s="231"/>
    </row>
    <row r="748">
      <c r="B748" s="231"/>
    </row>
    <row r="749">
      <c r="B749" s="231"/>
    </row>
    <row r="750">
      <c r="B750" s="231"/>
    </row>
    <row r="751">
      <c r="B751" s="231"/>
    </row>
    <row r="752">
      <c r="B752" s="231"/>
    </row>
    <row r="753">
      <c r="B753" s="231"/>
    </row>
    <row r="754">
      <c r="B754" s="231"/>
    </row>
    <row r="755">
      <c r="B755" s="231"/>
    </row>
    <row r="756">
      <c r="B756" s="231"/>
    </row>
    <row r="757">
      <c r="B757" s="231"/>
    </row>
    <row r="758">
      <c r="B758" s="231"/>
    </row>
    <row r="759">
      <c r="B759" s="231"/>
    </row>
    <row r="760">
      <c r="B760" s="231"/>
    </row>
    <row r="761">
      <c r="B761" s="231"/>
    </row>
    <row r="762">
      <c r="B762" s="231"/>
    </row>
    <row r="763">
      <c r="B763" s="231"/>
    </row>
    <row r="764">
      <c r="B764" s="231"/>
    </row>
    <row r="765">
      <c r="B765" s="231"/>
    </row>
    <row r="766">
      <c r="B766" s="231"/>
    </row>
    <row r="767">
      <c r="B767" s="231"/>
    </row>
    <row r="768">
      <c r="B768" s="231"/>
    </row>
    <row r="769">
      <c r="B769" s="231"/>
    </row>
    <row r="770">
      <c r="B770" s="231"/>
    </row>
    <row r="771">
      <c r="B771" s="231"/>
    </row>
    <row r="772">
      <c r="B772" s="231"/>
    </row>
    <row r="773">
      <c r="B773" s="231"/>
    </row>
    <row r="774">
      <c r="B774" s="231"/>
    </row>
    <row r="775">
      <c r="B775" s="231"/>
    </row>
    <row r="776">
      <c r="B776" s="231"/>
    </row>
    <row r="777">
      <c r="B777" s="231"/>
    </row>
    <row r="778">
      <c r="B778" s="231"/>
    </row>
    <row r="779">
      <c r="B779" s="231"/>
    </row>
    <row r="780">
      <c r="B780" s="231"/>
    </row>
    <row r="781">
      <c r="B781" s="231"/>
    </row>
    <row r="782">
      <c r="B782" s="231"/>
    </row>
    <row r="783">
      <c r="B783" s="231"/>
    </row>
    <row r="784">
      <c r="B784" s="231"/>
    </row>
    <row r="785">
      <c r="B785" s="231"/>
    </row>
    <row r="786">
      <c r="B786" s="231"/>
    </row>
    <row r="787">
      <c r="B787" s="231"/>
    </row>
    <row r="788">
      <c r="B788" s="231"/>
    </row>
    <row r="789">
      <c r="B789" s="231"/>
    </row>
    <row r="790">
      <c r="B790" s="231"/>
    </row>
    <row r="791">
      <c r="B791" s="231"/>
    </row>
    <row r="792">
      <c r="B792" s="231"/>
    </row>
    <row r="793">
      <c r="B793" s="231"/>
    </row>
    <row r="794">
      <c r="B794" s="231"/>
    </row>
    <row r="795">
      <c r="B795" s="231"/>
    </row>
    <row r="796">
      <c r="B796" s="231"/>
    </row>
    <row r="797">
      <c r="B797" s="231"/>
    </row>
    <row r="798">
      <c r="B798" s="231"/>
    </row>
    <row r="799">
      <c r="B799" s="231"/>
    </row>
    <row r="800">
      <c r="B800" s="231"/>
    </row>
    <row r="801">
      <c r="B801" s="231"/>
    </row>
    <row r="802">
      <c r="B802" s="231"/>
    </row>
    <row r="803">
      <c r="B803" s="231"/>
    </row>
    <row r="804">
      <c r="B804" s="231"/>
    </row>
    <row r="805">
      <c r="B805" s="231"/>
    </row>
    <row r="806">
      <c r="B806" s="231"/>
    </row>
    <row r="807">
      <c r="B807" s="231"/>
    </row>
    <row r="808">
      <c r="B808" s="231"/>
    </row>
    <row r="809">
      <c r="B809" s="231"/>
    </row>
    <row r="810">
      <c r="B810" s="231"/>
    </row>
    <row r="811">
      <c r="B811" s="231"/>
    </row>
    <row r="812">
      <c r="B812" s="231"/>
    </row>
    <row r="813">
      <c r="B813" s="231"/>
    </row>
    <row r="814">
      <c r="B814" s="231"/>
    </row>
    <row r="815">
      <c r="B815" s="231"/>
    </row>
    <row r="816">
      <c r="B816" s="231"/>
    </row>
    <row r="817">
      <c r="B817" s="231"/>
    </row>
    <row r="818">
      <c r="B818" s="231"/>
    </row>
    <row r="819">
      <c r="B819" s="231"/>
    </row>
    <row r="820">
      <c r="B820" s="231"/>
    </row>
    <row r="821">
      <c r="B821" s="231"/>
    </row>
    <row r="822">
      <c r="B822" s="231"/>
    </row>
    <row r="823">
      <c r="B823" s="231"/>
    </row>
    <row r="824">
      <c r="B824" s="231"/>
    </row>
    <row r="825">
      <c r="B825" s="231"/>
    </row>
    <row r="826">
      <c r="B826" s="231"/>
    </row>
    <row r="827">
      <c r="B827" s="231"/>
    </row>
    <row r="828">
      <c r="B828" s="231"/>
    </row>
    <row r="829">
      <c r="B829" s="231"/>
    </row>
    <row r="830">
      <c r="B830" s="231"/>
    </row>
    <row r="831">
      <c r="B831" s="231"/>
    </row>
    <row r="832">
      <c r="B832" s="231"/>
    </row>
    <row r="833">
      <c r="B833" s="231"/>
    </row>
    <row r="834">
      <c r="B834" s="231"/>
    </row>
    <row r="835">
      <c r="B835" s="231"/>
    </row>
    <row r="836">
      <c r="B836" s="231"/>
    </row>
    <row r="837">
      <c r="B837" s="231"/>
    </row>
    <row r="838">
      <c r="B838" s="231"/>
    </row>
    <row r="839">
      <c r="B839" s="231"/>
    </row>
    <row r="840">
      <c r="B840" s="231"/>
    </row>
    <row r="841">
      <c r="B841" s="231"/>
    </row>
    <row r="842">
      <c r="B842" s="231"/>
    </row>
    <row r="843">
      <c r="B843" s="231"/>
    </row>
    <row r="844">
      <c r="B844" s="231"/>
    </row>
    <row r="845">
      <c r="B845" s="231"/>
    </row>
    <row r="846">
      <c r="B846" s="231"/>
    </row>
    <row r="847">
      <c r="B847" s="231"/>
    </row>
    <row r="848">
      <c r="B848" s="231"/>
    </row>
    <row r="849">
      <c r="B849" s="231"/>
    </row>
    <row r="850">
      <c r="B850" s="231"/>
    </row>
    <row r="851">
      <c r="B851" s="231"/>
    </row>
    <row r="852">
      <c r="B852" s="231"/>
    </row>
    <row r="853">
      <c r="B853" s="231"/>
    </row>
    <row r="854">
      <c r="B854" s="231"/>
    </row>
    <row r="855">
      <c r="B855" s="231"/>
    </row>
    <row r="856">
      <c r="B856" s="231"/>
    </row>
    <row r="857">
      <c r="B857" s="231"/>
    </row>
    <row r="858">
      <c r="B858" s="231"/>
    </row>
    <row r="859">
      <c r="B859" s="231"/>
    </row>
    <row r="860">
      <c r="B860" s="231"/>
    </row>
    <row r="861">
      <c r="B861" s="231"/>
    </row>
    <row r="862">
      <c r="B862" s="231"/>
    </row>
    <row r="863">
      <c r="B863" s="231"/>
    </row>
    <row r="864">
      <c r="B864" s="231"/>
    </row>
    <row r="865">
      <c r="B865" s="231"/>
    </row>
    <row r="866">
      <c r="B866" s="231"/>
    </row>
    <row r="867">
      <c r="B867" s="231"/>
    </row>
    <row r="868">
      <c r="B868" s="231"/>
    </row>
    <row r="869">
      <c r="B869" s="231"/>
    </row>
    <row r="870">
      <c r="B870" s="231"/>
    </row>
    <row r="871">
      <c r="B871" s="231"/>
    </row>
    <row r="872">
      <c r="B872" s="231"/>
    </row>
    <row r="873">
      <c r="B873" s="231"/>
    </row>
    <row r="874">
      <c r="B874" s="231"/>
    </row>
    <row r="875">
      <c r="B875" s="231"/>
    </row>
    <row r="876">
      <c r="B876" s="231"/>
    </row>
    <row r="877">
      <c r="B877" s="231"/>
    </row>
    <row r="878">
      <c r="B878" s="231"/>
    </row>
    <row r="879">
      <c r="B879" s="231"/>
    </row>
    <row r="880">
      <c r="B880" s="231"/>
    </row>
    <row r="881">
      <c r="B881" s="231"/>
    </row>
    <row r="882">
      <c r="B882" s="231"/>
    </row>
    <row r="883">
      <c r="B883" s="231"/>
    </row>
    <row r="884">
      <c r="B884" s="231"/>
    </row>
    <row r="885">
      <c r="B885" s="231"/>
    </row>
    <row r="886">
      <c r="B886" s="231"/>
    </row>
    <row r="887">
      <c r="B887" s="231"/>
    </row>
    <row r="888">
      <c r="B888" s="231"/>
    </row>
    <row r="889">
      <c r="B889" s="231"/>
    </row>
    <row r="890">
      <c r="B890" s="231"/>
    </row>
    <row r="891">
      <c r="B891" s="231"/>
    </row>
    <row r="892">
      <c r="B892" s="231"/>
    </row>
    <row r="893">
      <c r="B893" s="231"/>
    </row>
    <row r="894">
      <c r="B894" s="231"/>
    </row>
    <row r="895">
      <c r="B895" s="231"/>
    </row>
    <row r="896">
      <c r="B896" s="231"/>
    </row>
    <row r="897">
      <c r="B897" s="231"/>
    </row>
    <row r="898">
      <c r="B898" s="231"/>
    </row>
    <row r="899">
      <c r="B899" s="231"/>
    </row>
    <row r="900">
      <c r="B900" s="231"/>
    </row>
    <row r="901">
      <c r="B901" s="231"/>
    </row>
    <row r="902">
      <c r="B902" s="231"/>
    </row>
    <row r="903">
      <c r="B903" s="231"/>
    </row>
    <row r="904">
      <c r="B904" s="231"/>
    </row>
    <row r="905">
      <c r="B905" s="231"/>
    </row>
    <row r="906">
      <c r="B906" s="231"/>
    </row>
    <row r="907">
      <c r="B907" s="231"/>
    </row>
    <row r="908">
      <c r="B908" s="231"/>
    </row>
    <row r="909">
      <c r="B909" s="231"/>
    </row>
    <row r="910">
      <c r="B910" s="231"/>
    </row>
    <row r="911">
      <c r="B911" s="231"/>
    </row>
    <row r="912">
      <c r="B912" s="231"/>
    </row>
    <row r="913">
      <c r="B913" s="231"/>
    </row>
    <row r="914">
      <c r="B914" s="231"/>
    </row>
    <row r="915">
      <c r="B915" s="231"/>
    </row>
    <row r="916">
      <c r="B916" s="231"/>
    </row>
    <row r="917">
      <c r="B917" s="231"/>
    </row>
    <row r="918">
      <c r="B918" s="231"/>
    </row>
    <row r="919">
      <c r="B919" s="231"/>
    </row>
    <row r="920">
      <c r="B920" s="231"/>
    </row>
    <row r="921">
      <c r="B921" s="231"/>
    </row>
    <row r="922">
      <c r="B922" s="231"/>
    </row>
    <row r="923">
      <c r="B923" s="231"/>
    </row>
    <row r="924">
      <c r="B924" s="231"/>
    </row>
    <row r="925">
      <c r="B925" s="231"/>
    </row>
    <row r="926">
      <c r="B926" s="231"/>
    </row>
    <row r="927">
      <c r="B927" s="231"/>
    </row>
    <row r="928">
      <c r="B928" s="231"/>
    </row>
    <row r="929">
      <c r="B929" s="231"/>
    </row>
    <row r="930">
      <c r="B930" s="231"/>
    </row>
    <row r="931">
      <c r="B931" s="231"/>
    </row>
    <row r="932">
      <c r="B932" s="231"/>
    </row>
    <row r="933">
      <c r="B933" s="231"/>
    </row>
    <row r="934">
      <c r="B934" s="231"/>
    </row>
    <row r="935">
      <c r="B935" s="231"/>
    </row>
    <row r="936">
      <c r="B936" s="231"/>
    </row>
    <row r="937">
      <c r="B937" s="231"/>
    </row>
    <row r="938">
      <c r="B938" s="231"/>
    </row>
    <row r="939">
      <c r="B939" s="231"/>
    </row>
    <row r="940">
      <c r="B940" s="231"/>
    </row>
    <row r="941">
      <c r="B941" s="231"/>
    </row>
    <row r="942">
      <c r="B942" s="231"/>
    </row>
    <row r="943">
      <c r="B943" s="231"/>
    </row>
    <row r="944">
      <c r="B944" s="231"/>
    </row>
    <row r="945">
      <c r="B945" s="231"/>
    </row>
    <row r="946">
      <c r="B946" s="231"/>
    </row>
    <row r="947">
      <c r="B947" s="231"/>
    </row>
    <row r="948">
      <c r="B948" s="231"/>
    </row>
    <row r="949">
      <c r="B949" s="231"/>
    </row>
    <row r="950">
      <c r="B950" s="231"/>
    </row>
    <row r="951">
      <c r="B951" s="231"/>
    </row>
    <row r="952">
      <c r="B952" s="231"/>
    </row>
    <row r="953">
      <c r="B953" s="231"/>
    </row>
    <row r="954">
      <c r="B954" s="231"/>
    </row>
    <row r="955">
      <c r="B955" s="231"/>
    </row>
    <row r="956">
      <c r="B956" s="231"/>
    </row>
    <row r="957">
      <c r="B957" s="231"/>
    </row>
    <row r="958">
      <c r="B958" s="231"/>
    </row>
    <row r="959">
      <c r="B959" s="231"/>
    </row>
    <row r="960">
      <c r="B960" s="231"/>
    </row>
    <row r="961">
      <c r="B961" s="231"/>
    </row>
    <row r="962">
      <c r="B962" s="231"/>
    </row>
    <row r="963">
      <c r="B963" s="231"/>
    </row>
    <row r="964">
      <c r="B964" s="231"/>
    </row>
    <row r="965">
      <c r="B965" s="231"/>
    </row>
    <row r="966">
      <c r="B966" s="231"/>
    </row>
    <row r="967">
      <c r="B967" s="231"/>
    </row>
    <row r="968">
      <c r="B968" s="231"/>
    </row>
    <row r="969">
      <c r="B969" s="231"/>
    </row>
    <row r="970">
      <c r="B970" s="231"/>
    </row>
    <row r="971">
      <c r="B971" s="231"/>
    </row>
    <row r="972">
      <c r="B972" s="231"/>
    </row>
    <row r="973">
      <c r="B973" s="231"/>
    </row>
    <row r="974">
      <c r="B974" s="231"/>
    </row>
    <row r="975">
      <c r="B975" s="231"/>
    </row>
    <row r="976">
      <c r="B976" s="231"/>
    </row>
    <row r="977">
      <c r="B977" s="231"/>
    </row>
    <row r="978">
      <c r="B978" s="231"/>
    </row>
    <row r="979">
      <c r="B979" s="231"/>
    </row>
    <row r="980">
      <c r="B980" s="231"/>
    </row>
    <row r="981">
      <c r="B981" s="231"/>
    </row>
    <row r="982">
      <c r="B982" s="231"/>
    </row>
    <row r="983">
      <c r="B983" s="231"/>
    </row>
    <row r="984">
      <c r="B984" s="231"/>
    </row>
    <row r="985">
      <c r="B985" s="231"/>
    </row>
    <row r="986">
      <c r="B986" s="231"/>
    </row>
    <row r="987">
      <c r="B987" s="231"/>
    </row>
    <row r="988">
      <c r="B988" s="231"/>
    </row>
    <row r="989">
      <c r="B989" s="231"/>
    </row>
    <row r="990">
      <c r="B990" s="231"/>
    </row>
    <row r="991">
      <c r="B991" s="231"/>
    </row>
    <row r="992">
      <c r="B992" s="231"/>
    </row>
    <row r="993">
      <c r="B993" s="231"/>
    </row>
    <row r="994">
      <c r="B994" s="231"/>
    </row>
    <row r="995">
      <c r="B995" s="231"/>
    </row>
    <row r="996">
      <c r="B996" s="231"/>
    </row>
    <row r="997">
      <c r="B997" s="231"/>
    </row>
    <row r="998">
      <c r="B998" s="231"/>
    </row>
    <row r="999">
      <c r="B999" s="231"/>
    </row>
    <row r="1000">
      <c r="B1000" s="2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34" t="s">
        <v>149</v>
      </c>
      <c r="B1" s="234" t="s">
        <v>15</v>
      </c>
      <c r="C1" s="235" t="s">
        <v>16</v>
      </c>
      <c r="D1" s="235" t="s">
        <v>150</v>
      </c>
      <c r="E1" s="236" t="s">
        <v>151</v>
      </c>
      <c r="F1" s="237" t="s">
        <v>18</v>
      </c>
      <c r="G1" s="237"/>
      <c r="H1" s="237" t="s">
        <v>152</v>
      </c>
    </row>
    <row r="2">
      <c r="A2" s="238">
        <v>1.0</v>
      </c>
      <c r="B2" s="238">
        <v>1.0</v>
      </c>
      <c r="C2" s="238" t="s">
        <v>21</v>
      </c>
      <c r="D2" s="239">
        <v>46184.0</v>
      </c>
      <c r="E2" s="238" t="s">
        <v>22</v>
      </c>
      <c r="F2" s="238"/>
      <c r="G2" s="238"/>
      <c r="H2" s="238" t="s">
        <v>23</v>
      </c>
    </row>
    <row r="3">
      <c r="A3" s="59">
        <v>1.0</v>
      </c>
      <c r="B3" s="59">
        <v>2.0</v>
      </c>
      <c r="C3" s="59" t="s">
        <v>21</v>
      </c>
      <c r="D3" s="60">
        <v>46184.0</v>
      </c>
      <c r="E3" s="59" t="s">
        <v>24</v>
      </c>
      <c r="F3" s="59"/>
      <c r="G3" s="59"/>
      <c r="H3" s="59" t="s">
        <v>25</v>
      </c>
    </row>
    <row r="4">
      <c r="A4" s="59">
        <v>1.0</v>
      </c>
      <c r="B4" s="59">
        <v>3.0</v>
      </c>
      <c r="C4" s="59" t="s">
        <v>26</v>
      </c>
      <c r="D4" s="60">
        <v>46185.0</v>
      </c>
      <c r="E4" s="59" t="s">
        <v>27</v>
      </c>
      <c r="F4" s="59"/>
      <c r="G4" s="59"/>
      <c r="H4" s="59" t="s">
        <v>28</v>
      </c>
    </row>
    <row r="5">
      <c r="A5" s="59">
        <v>1.0</v>
      </c>
      <c r="B5" s="59">
        <v>4.0</v>
      </c>
      <c r="C5" s="59" t="s">
        <v>29</v>
      </c>
      <c r="D5" s="60">
        <v>46185.0</v>
      </c>
      <c r="E5" s="59" t="s">
        <v>30</v>
      </c>
      <c r="F5" s="59"/>
      <c r="G5" s="59"/>
      <c r="H5" s="59" t="s">
        <v>31</v>
      </c>
    </row>
    <row r="6">
      <c r="A6" s="59">
        <v>1.0</v>
      </c>
      <c r="B6" s="59">
        <v>5.0</v>
      </c>
      <c r="C6" s="59" t="s">
        <v>32</v>
      </c>
      <c r="D6" s="60">
        <v>46186.0</v>
      </c>
      <c r="E6" s="59" t="s">
        <v>33</v>
      </c>
      <c r="F6" s="59"/>
      <c r="G6" s="59"/>
      <c r="H6" s="59" t="s">
        <v>34</v>
      </c>
    </row>
    <row r="7">
      <c r="A7" s="59">
        <v>1.0</v>
      </c>
      <c r="B7" s="59">
        <v>6.0</v>
      </c>
      <c r="C7" s="59" t="s">
        <v>29</v>
      </c>
      <c r="D7" s="60">
        <v>46186.0</v>
      </c>
      <c r="E7" s="59" t="s">
        <v>35</v>
      </c>
      <c r="F7" s="59"/>
      <c r="G7" s="59"/>
      <c r="H7" s="59" t="s">
        <v>36</v>
      </c>
    </row>
    <row r="8">
      <c r="A8" s="59">
        <v>1.0</v>
      </c>
      <c r="B8" s="59">
        <v>7.0</v>
      </c>
      <c r="C8" s="59" t="s">
        <v>32</v>
      </c>
      <c r="D8" s="60">
        <v>46186.0</v>
      </c>
      <c r="E8" s="59" t="s">
        <v>37</v>
      </c>
      <c r="F8" s="59"/>
      <c r="G8" s="59"/>
      <c r="H8" s="59" t="s">
        <v>38</v>
      </c>
    </row>
    <row r="9">
      <c r="A9" s="59">
        <v>1.0</v>
      </c>
      <c r="B9" s="59">
        <v>8.0</v>
      </c>
      <c r="C9" s="59" t="s">
        <v>26</v>
      </c>
      <c r="D9" s="60">
        <v>46186.0</v>
      </c>
      <c r="E9" s="59" t="s">
        <v>39</v>
      </c>
      <c r="F9" s="59"/>
      <c r="G9" s="59"/>
      <c r="H9" s="59" t="s">
        <v>40</v>
      </c>
    </row>
    <row r="10">
      <c r="A10" s="59">
        <v>1.0</v>
      </c>
      <c r="B10" s="59">
        <v>9.0</v>
      </c>
      <c r="C10" s="59" t="s">
        <v>41</v>
      </c>
      <c r="D10" s="60">
        <v>46187.0</v>
      </c>
      <c r="E10" s="59" t="s">
        <v>42</v>
      </c>
      <c r="F10" s="59"/>
      <c r="G10" s="59"/>
      <c r="H10" s="59" t="s">
        <v>43</v>
      </c>
    </row>
    <row r="11">
      <c r="A11" s="59">
        <v>1.0</v>
      </c>
      <c r="B11" s="59">
        <v>10.0</v>
      </c>
      <c r="C11" s="59" t="s">
        <v>41</v>
      </c>
      <c r="D11" s="60">
        <v>46187.0</v>
      </c>
      <c r="E11" s="59" t="s">
        <v>44</v>
      </c>
      <c r="F11" s="59"/>
      <c r="G11" s="59"/>
      <c r="H11" s="59" t="s">
        <v>45</v>
      </c>
    </row>
    <row r="12">
      <c r="A12" s="59">
        <v>1.0</v>
      </c>
      <c r="B12" s="59">
        <v>11.0</v>
      </c>
      <c r="C12" s="59" t="s">
        <v>46</v>
      </c>
      <c r="D12" s="60">
        <v>46187.0</v>
      </c>
      <c r="E12" s="59" t="s">
        <v>47</v>
      </c>
      <c r="F12" s="59"/>
      <c r="G12" s="59"/>
      <c r="H12" s="59" t="s">
        <v>48</v>
      </c>
    </row>
    <row r="13">
      <c r="A13" s="59">
        <v>1.0</v>
      </c>
      <c r="B13" s="59">
        <v>12.0</v>
      </c>
      <c r="C13" s="59" t="s">
        <v>46</v>
      </c>
      <c r="D13" s="60">
        <v>46187.0</v>
      </c>
      <c r="E13" s="59" t="s">
        <v>49</v>
      </c>
      <c r="F13" s="59"/>
      <c r="G13" s="59"/>
      <c r="H13" s="59" t="s">
        <v>50</v>
      </c>
    </row>
    <row r="14">
      <c r="A14" s="59">
        <v>1.0</v>
      </c>
      <c r="B14" s="59">
        <v>13.0</v>
      </c>
      <c r="C14" s="59" t="s">
        <v>51</v>
      </c>
      <c r="D14" s="60">
        <v>46188.0</v>
      </c>
      <c r="E14" s="59" t="s">
        <v>52</v>
      </c>
      <c r="F14" s="59"/>
      <c r="G14" s="59"/>
      <c r="H14" s="59" t="s">
        <v>53</v>
      </c>
    </row>
    <row r="15">
      <c r="A15" s="80">
        <v>1.0</v>
      </c>
      <c r="B15" s="80">
        <v>14.0</v>
      </c>
      <c r="C15" s="80" t="s">
        <v>51</v>
      </c>
      <c r="D15" s="81">
        <v>46188.0</v>
      </c>
      <c r="E15" s="80" t="s">
        <v>54</v>
      </c>
      <c r="F15" s="80"/>
      <c r="G15" s="80"/>
      <c r="H15" s="80" t="s">
        <v>55</v>
      </c>
    </row>
    <row r="16">
      <c r="A16" s="99">
        <v>1.0</v>
      </c>
      <c r="B16" s="99">
        <v>15.0</v>
      </c>
      <c r="C16" s="99" t="s">
        <v>56</v>
      </c>
      <c r="D16" s="100">
        <v>46188.0</v>
      </c>
      <c r="E16" s="99" t="s">
        <v>57</v>
      </c>
      <c r="F16" s="99"/>
      <c r="G16" s="99"/>
      <c r="H16" s="99" t="s">
        <v>58</v>
      </c>
    </row>
    <row r="17">
      <c r="A17" s="59">
        <v>1.0</v>
      </c>
      <c r="B17" s="59">
        <v>16.0</v>
      </c>
      <c r="C17" s="59" t="s">
        <v>56</v>
      </c>
      <c r="D17" s="60">
        <v>46188.0</v>
      </c>
      <c r="E17" s="59" t="s">
        <v>59</v>
      </c>
      <c r="F17" s="59"/>
      <c r="G17" s="59"/>
      <c r="H17" s="59" t="s">
        <v>60</v>
      </c>
    </row>
    <row r="18">
      <c r="A18" s="59">
        <v>1.0</v>
      </c>
      <c r="B18" s="59">
        <v>17.0</v>
      </c>
      <c r="C18" s="59" t="s">
        <v>61</v>
      </c>
      <c r="D18" s="60">
        <v>46189.0</v>
      </c>
      <c r="E18" s="59" t="s">
        <v>62</v>
      </c>
      <c r="F18" s="59"/>
      <c r="G18" s="59"/>
      <c r="H18" s="59" t="s">
        <v>63</v>
      </c>
    </row>
    <row r="19">
      <c r="A19" s="59">
        <v>1.0</v>
      </c>
      <c r="B19" s="59">
        <v>18.0</v>
      </c>
      <c r="C19" s="59" t="s">
        <v>61</v>
      </c>
      <c r="D19" s="60">
        <v>46189.0</v>
      </c>
      <c r="E19" s="59" t="s">
        <v>64</v>
      </c>
      <c r="F19" s="59"/>
      <c r="G19" s="59"/>
      <c r="H19" s="59" t="s">
        <v>65</v>
      </c>
    </row>
    <row r="20">
      <c r="A20" s="59">
        <v>1.0</v>
      </c>
      <c r="B20" s="59">
        <v>19.0</v>
      </c>
      <c r="C20" s="59" t="s">
        <v>66</v>
      </c>
      <c r="D20" s="60">
        <v>46189.0</v>
      </c>
      <c r="E20" s="59" t="s">
        <v>67</v>
      </c>
      <c r="F20" s="59"/>
      <c r="G20" s="59"/>
      <c r="H20" s="59" t="s">
        <v>68</v>
      </c>
    </row>
    <row r="21">
      <c r="A21" s="59">
        <v>1.0</v>
      </c>
      <c r="B21" s="59">
        <v>20.0</v>
      </c>
      <c r="C21" s="59" t="s">
        <v>66</v>
      </c>
      <c r="D21" s="60">
        <v>46189.0</v>
      </c>
      <c r="E21" s="59" t="s">
        <v>69</v>
      </c>
      <c r="F21" s="59"/>
      <c r="G21" s="59"/>
      <c r="H21" s="59" t="s">
        <v>70</v>
      </c>
    </row>
    <row r="22">
      <c r="A22" s="59">
        <v>1.0</v>
      </c>
      <c r="B22" s="59">
        <v>21.0</v>
      </c>
      <c r="C22" s="59" t="s">
        <v>71</v>
      </c>
      <c r="D22" s="60">
        <v>46190.0</v>
      </c>
      <c r="E22" s="59" t="s">
        <v>72</v>
      </c>
      <c r="F22" s="59"/>
      <c r="G22" s="59"/>
      <c r="H22" s="59" t="s">
        <v>73</v>
      </c>
    </row>
    <row r="23">
      <c r="A23" s="59">
        <v>1.0</v>
      </c>
      <c r="B23" s="59">
        <v>22.0</v>
      </c>
      <c r="C23" s="59" t="s">
        <v>71</v>
      </c>
      <c r="D23" s="60">
        <v>46190.0</v>
      </c>
      <c r="E23" s="59" t="s">
        <v>74</v>
      </c>
      <c r="F23" s="59"/>
      <c r="G23" s="59"/>
      <c r="H23" s="59" t="s">
        <v>75</v>
      </c>
    </row>
    <row r="24">
      <c r="A24" s="59">
        <v>1.0</v>
      </c>
      <c r="B24" s="59">
        <v>23.0</v>
      </c>
      <c r="C24" s="59" t="s">
        <v>76</v>
      </c>
      <c r="D24" s="60">
        <v>46190.0</v>
      </c>
      <c r="E24" s="59" t="s">
        <v>77</v>
      </c>
      <c r="F24" s="59"/>
      <c r="G24" s="59"/>
      <c r="H24" s="59" t="s">
        <v>78</v>
      </c>
    </row>
    <row r="25">
      <c r="A25" s="59">
        <v>1.0</v>
      </c>
      <c r="B25" s="59">
        <v>24.0</v>
      </c>
      <c r="C25" s="59" t="s">
        <v>76</v>
      </c>
      <c r="D25" s="60">
        <v>46190.0</v>
      </c>
      <c r="E25" s="59" t="s">
        <v>79</v>
      </c>
      <c r="F25" s="59"/>
      <c r="G25" s="59"/>
      <c r="H25" s="59" t="s">
        <v>80</v>
      </c>
    </row>
    <row r="26">
      <c r="A26" s="59">
        <v>2.0</v>
      </c>
      <c r="B26" s="59">
        <v>25.0</v>
      </c>
      <c r="C26" s="59" t="s">
        <v>21</v>
      </c>
      <c r="D26" s="60">
        <v>46191.0</v>
      </c>
      <c r="E26" s="59" t="s">
        <v>25</v>
      </c>
      <c r="F26" s="59"/>
      <c r="G26" s="59"/>
      <c r="H26" s="59" t="s">
        <v>23</v>
      </c>
    </row>
    <row r="27">
      <c r="A27" s="59">
        <v>2.0</v>
      </c>
      <c r="B27" s="59">
        <v>26.0</v>
      </c>
      <c r="C27" s="59" t="s">
        <v>21</v>
      </c>
      <c r="D27" s="60">
        <v>46191.0</v>
      </c>
      <c r="E27" s="59" t="s">
        <v>22</v>
      </c>
      <c r="F27" s="59"/>
      <c r="G27" s="59"/>
      <c r="H27" s="59" t="s">
        <v>24</v>
      </c>
    </row>
    <row r="28">
      <c r="A28" s="59">
        <v>2.0</v>
      </c>
      <c r="B28" s="59">
        <v>27.0</v>
      </c>
      <c r="C28" s="59" t="s">
        <v>26</v>
      </c>
      <c r="D28" s="60">
        <v>46191.0</v>
      </c>
      <c r="E28" s="59" t="s">
        <v>40</v>
      </c>
      <c r="F28" s="59"/>
      <c r="G28" s="59"/>
      <c r="H28" s="59" t="s">
        <v>28</v>
      </c>
    </row>
    <row r="29">
      <c r="A29" s="59">
        <v>2.0</v>
      </c>
      <c r="B29" s="59">
        <v>28.0</v>
      </c>
      <c r="C29" s="59" t="s">
        <v>26</v>
      </c>
      <c r="D29" s="60">
        <v>46191.0</v>
      </c>
      <c r="E29" s="59" t="s">
        <v>27</v>
      </c>
      <c r="F29" s="59"/>
      <c r="G29" s="59"/>
      <c r="H29" s="59" t="s">
        <v>39</v>
      </c>
    </row>
    <row r="30">
      <c r="A30" s="59">
        <v>2.0</v>
      </c>
      <c r="B30" s="59">
        <v>29.0</v>
      </c>
      <c r="C30" s="59" t="s">
        <v>32</v>
      </c>
      <c r="D30" s="60">
        <v>46192.0</v>
      </c>
      <c r="E30" s="59" t="s">
        <v>37</v>
      </c>
      <c r="F30" s="59"/>
      <c r="G30" s="59"/>
      <c r="H30" s="59" t="s">
        <v>33</v>
      </c>
    </row>
    <row r="31">
      <c r="A31" s="59">
        <v>2.0</v>
      </c>
      <c r="B31" s="59">
        <v>30.0</v>
      </c>
      <c r="C31" s="59" t="s">
        <v>32</v>
      </c>
      <c r="D31" s="60">
        <v>46192.0</v>
      </c>
      <c r="E31" s="59" t="s">
        <v>34</v>
      </c>
      <c r="F31" s="59"/>
      <c r="G31" s="59"/>
      <c r="H31" s="59" t="s">
        <v>38</v>
      </c>
    </row>
    <row r="32">
      <c r="A32" s="59">
        <v>2.0</v>
      </c>
      <c r="B32" s="59">
        <v>31.0</v>
      </c>
      <c r="C32" s="59" t="s">
        <v>29</v>
      </c>
      <c r="D32" s="60">
        <v>46192.0</v>
      </c>
      <c r="E32" s="59" t="s">
        <v>36</v>
      </c>
      <c r="F32" s="59"/>
      <c r="G32" s="59"/>
      <c r="H32" s="59" t="s">
        <v>31</v>
      </c>
    </row>
    <row r="33">
      <c r="A33" s="59">
        <v>2.0</v>
      </c>
      <c r="B33" s="59">
        <v>32.0</v>
      </c>
      <c r="C33" s="59" t="s">
        <v>29</v>
      </c>
      <c r="D33" s="60">
        <v>46192.0</v>
      </c>
      <c r="E33" s="59" t="s">
        <v>30</v>
      </c>
      <c r="F33" s="59"/>
      <c r="G33" s="59"/>
      <c r="H33" s="59" t="s">
        <v>35</v>
      </c>
    </row>
    <row r="34">
      <c r="A34" s="59">
        <v>2.0</v>
      </c>
      <c r="B34" s="59">
        <v>33.0</v>
      </c>
      <c r="C34" s="59" t="s">
        <v>41</v>
      </c>
      <c r="D34" s="60">
        <v>46193.0</v>
      </c>
      <c r="E34" s="59" t="s">
        <v>44</v>
      </c>
      <c r="F34" s="59"/>
      <c r="G34" s="59"/>
      <c r="H34" s="59" t="s">
        <v>42</v>
      </c>
    </row>
    <row r="35">
      <c r="A35" s="59">
        <v>2.0</v>
      </c>
      <c r="B35" s="59">
        <v>34.0</v>
      </c>
      <c r="C35" s="59" t="s">
        <v>41</v>
      </c>
      <c r="D35" s="60">
        <v>46193.0</v>
      </c>
      <c r="E35" s="59" t="s">
        <v>43</v>
      </c>
      <c r="F35" s="59"/>
      <c r="G35" s="59"/>
      <c r="H35" s="59" t="s">
        <v>45</v>
      </c>
    </row>
    <row r="36">
      <c r="A36" s="59">
        <v>2.0</v>
      </c>
      <c r="B36" s="59">
        <v>35.0</v>
      </c>
      <c r="C36" s="59" t="s">
        <v>46</v>
      </c>
      <c r="D36" s="60">
        <v>46193.0</v>
      </c>
      <c r="E36" s="59" t="s">
        <v>47</v>
      </c>
      <c r="F36" s="59"/>
      <c r="G36" s="59"/>
      <c r="H36" s="59" t="s">
        <v>49</v>
      </c>
    </row>
    <row r="37">
      <c r="A37" s="59">
        <v>2.0</v>
      </c>
      <c r="B37" s="59">
        <v>36.0</v>
      </c>
      <c r="C37" s="59" t="s">
        <v>46</v>
      </c>
      <c r="D37" s="60">
        <v>46193.0</v>
      </c>
      <c r="E37" s="59" t="s">
        <v>50</v>
      </c>
      <c r="F37" s="59"/>
      <c r="G37" s="59"/>
      <c r="H37" s="59" t="s">
        <v>48</v>
      </c>
    </row>
    <row r="38">
      <c r="A38" s="80">
        <v>2.0</v>
      </c>
      <c r="B38" s="80">
        <v>37.0</v>
      </c>
      <c r="C38" s="80" t="s">
        <v>51</v>
      </c>
      <c r="D38" s="81">
        <v>46194.0</v>
      </c>
      <c r="E38" s="80" t="s">
        <v>52</v>
      </c>
      <c r="F38" s="80"/>
      <c r="G38" s="80"/>
      <c r="H38" s="80" t="s">
        <v>54</v>
      </c>
    </row>
    <row r="39">
      <c r="A39" s="99">
        <v>2.0</v>
      </c>
      <c r="B39" s="99">
        <v>38.0</v>
      </c>
      <c r="C39" s="99" t="s">
        <v>51</v>
      </c>
      <c r="D39" s="100">
        <v>46194.0</v>
      </c>
      <c r="E39" s="99" t="s">
        <v>55</v>
      </c>
      <c r="F39" s="99"/>
      <c r="G39" s="99"/>
      <c r="H39" s="99" t="s">
        <v>53</v>
      </c>
    </row>
    <row r="40">
      <c r="A40" s="59">
        <v>2.0</v>
      </c>
      <c r="B40" s="59">
        <v>39.0</v>
      </c>
      <c r="C40" s="59" t="s">
        <v>56</v>
      </c>
      <c r="D40" s="60">
        <v>46194.0</v>
      </c>
      <c r="E40" s="59" t="s">
        <v>60</v>
      </c>
      <c r="F40" s="59"/>
      <c r="G40" s="59"/>
      <c r="H40" s="59" t="s">
        <v>58</v>
      </c>
    </row>
    <row r="41">
      <c r="A41" s="59">
        <v>2.0</v>
      </c>
      <c r="B41" s="59">
        <v>40.0</v>
      </c>
      <c r="C41" s="59" t="s">
        <v>56</v>
      </c>
      <c r="D41" s="60">
        <v>46194.0</v>
      </c>
      <c r="E41" s="59" t="s">
        <v>57</v>
      </c>
      <c r="F41" s="59"/>
      <c r="G41" s="59"/>
      <c r="H41" s="59" t="s">
        <v>59</v>
      </c>
    </row>
    <row r="42">
      <c r="A42" s="59">
        <v>2.0</v>
      </c>
      <c r="B42" s="59">
        <v>41.0</v>
      </c>
      <c r="C42" s="59" t="s">
        <v>61</v>
      </c>
      <c r="D42" s="60">
        <v>46195.0</v>
      </c>
      <c r="E42" s="59" t="s">
        <v>62</v>
      </c>
      <c r="F42" s="59"/>
      <c r="G42" s="59"/>
      <c r="H42" s="59" t="s">
        <v>64</v>
      </c>
    </row>
    <row r="43">
      <c r="A43" s="59">
        <v>2.0</v>
      </c>
      <c r="B43" s="59">
        <v>42.0</v>
      </c>
      <c r="C43" s="59" t="s">
        <v>61</v>
      </c>
      <c r="D43" s="60">
        <v>46195.0</v>
      </c>
      <c r="E43" s="59" t="s">
        <v>65</v>
      </c>
      <c r="F43" s="59"/>
      <c r="G43" s="59"/>
      <c r="H43" s="59" t="s">
        <v>63</v>
      </c>
    </row>
    <row r="44">
      <c r="A44" s="59">
        <v>2.0</v>
      </c>
      <c r="B44" s="59">
        <v>43.0</v>
      </c>
      <c r="C44" s="59" t="s">
        <v>66</v>
      </c>
      <c r="D44" s="60">
        <v>46195.0</v>
      </c>
      <c r="E44" s="59" t="s">
        <v>67</v>
      </c>
      <c r="F44" s="59"/>
      <c r="G44" s="59"/>
      <c r="H44" s="59" t="s">
        <v>69</v>
      </c>
    </row>
    <row r="45">
      <c r="A45" s="59">
        <v>2.0</v>
      </c>
      <c r="B45" s="59">
        <v>44.0</v>
      </c>
      <c r="C45" s="59" t="s">
        <v>66</v>
      </c>
      <c r="D45" s="60">
        <v>46195.0</v>
      </c>
      <c r="E45" s="59" t="s">
        <v>70</v>
      </c>
      <c r="F45" s="59"/>
      <c r="G45" s="59"/>
      <c r="H45" s="59" t="s">
        <v>68</v>
      </c>
    </row>
    <row r="46">
      <c r="A46" s="59">
        <v>2.0</v>
      </c>
      <c r="B46" s="59">
        <v>45.0</v>
      </c>
      <c r="C46" s="59" t="s">
        <v>71</v>
      </c>
      <c r="D46" s="60">
        <v>46196.0</v>
      </c>
      <c r="E46" s="59" t="s">
        <v>72</v>
      </c>
      <c r="F46" s="59"/>
      <c r="G46" s="59"/>
      <c r="H46" s="59" t="s">
        <v>74</v>
      </c>
    </row>
    <row r="47">
      <c r="A47" s="59">
        <v>2.0</v>
      </c>
      <c r="B47" s="59">
        <v>46.0</v>
      </c>
      <c r="C47" s="59" t="s">
        <v>71</v>
      </c>
      <c r="D47" s="60">
        <v>46196.0</v>
      </c>
      <c r="E47" s="59" t="s">
        <v>75</v>
      </c>
      <c r="F47" s="59"/>
      <c r="G47" s="59"/>
      <c r="H47" s="59" t="s">
        <v>73</v>
      </c>
    </row>
    <row r="48">
      <c r="A48" s="59">
        <v>2.0</v>
      </c>
      <c r="B48" s="59">
        <v>47.0</v>
      </c>
      <c r="C48" s="59" t="s">
        <v>76</v>
      </c>
      <c r="D48" s="60">
        <v>46196.0</v>
      </c>
      <c r="E48" s="59" t="s">
        <v>77</v>
      </c>
      <c r="F48" s="59"/>
      <c r="G48" s="59"/>
      <c r="H48" s="59" t="s">
        <v>79</v>
      </c>
    </row>
    <row r="49">
      <c r="A49" s="59">
        <v>2.0</v>
      </c>
      <c r="B49" s="59">
        <v>48.0</v>
      </c>
      <c r="C49" s="59" t="s">
        <v>76</v>
      </c>
      <c r="D49" s="60">
        <v>46196.0</v>
      </c>
      <c r="E49" s="59" t="s">
        <v>80</v>
      </c>
      <c r="F49" s="59"/>
      <c r="G49" s="59"/>
      <c r="H49" s="59" t="s">
        <v>78</v>
      </c>
    </row>
    <row r="50">
      <c r="A50" s="59">
        <v>3.0</v>
      </c>
      <c r="B50" s="59">
        <v>49.0</v>
      </c>
      <c r="C50" s="59" t="s">
        <v>21</v>
      </c>
      <c r="D50" s="60">
        <v>46197.0</v>
      </c>
      <c r="E50" s="59" t="s">
        <v>25</v>
      </c>
      <c r="F50" s="59"/>
      <c r="G50" s="59"/>
      <c r="H50" s="59" t="s">
        <v>22</v>
      </c>
    </row>
    <row r="51">
      <c r="A51" s="59">
        <v>3.0</v>
      </c>
      <c r="B51" s="59">
        <v>50.0</v>
      </c>
      <c r="C51" s="59" t="s">
        <v>21</v>
      </c>
      <c r="D51" s="60">
        <v>46197.0</v>
      </c>
      <c r="E51" s="59" t="s">
        <v>23</v>
      </c>
      <c r="F51" s="59"/>
      <c r="G51" s="59"/>
      <c r="H51" s="59" t="s">
        <v>24</v>
      </c>
    </row>
    <row r="52">
      <c r="A52" s="59">
        <v>3.0</v>
      </c>
      <c r="B52" s="59">
        <v>51.0</v>
      </c>
      <c r="C52" s="59" t="s">
        <v>26</v>
      </c>
      <c r="D52" s="60">
        <v>46197.0</v>
      </c>
      <c r="E52" s="59" t="s">
        <v>40</v>
      </c>
      <c r="F52" s="59"/>
      <c r="G52" s="59"/>
      <c r="H52" s="59" t="s">
        <v>27</v>
      </c>
    </row>
    <row r="53">
      <c r="A53" s="59">
        <v>3.0</v>
      </c>
      <c r="B53" s="59">
        <v>52.0</v>
      </c>
      <c r="C53" s="59" t="s">
        <v>26</v>
      </c>
      <c r="D53" s="60">
        <v>46197.0</v>
      </c>
      <c r="E53" s="59" t="s">
        <v>28</v>
      </c>
      <c r="F53" s="59"/>
      <c r="G53" s="59"/>
      <c r="H53" s="59" t="s">
        <v>39</v>
      </c>
    </row>
    <row r="54">
      <c r="A54" s="59">
        <v>3.0</v>
      </c>
      <c r="B54" s="59">
        <v>53.0</v>
      </c>
      <c r="C54" s="59" t="s">
        <v>32</v>
      </c>
      <c r="D54" s="60">
        <v>46197.0</v>
      </c>
      <c r="E54" s="59" t="s">
        <v>34</v>
      </c>
      <c r="F54" s="59"/>
      <c r="G54" s="59"/>
      <c r="H54" s="59" t="s">
        <v>37</v>
      </c>
    </row>
    <row r="55">
      <c r="A55" s="59">
        <v>3.0</v>
      </c>
      <c r="B55" s="59">
        <v>54.0</v>
      </c>
      <c r="C55" s="59" t="s">
        <v>32</v>
      </c>
      <c r="D55" s="60">
        <v>46197.0</v>
      </c>
      <c r="E55" s="59" t="s">
        <v>38</v>
      </c>
      <c r="F55" s="59"/>
      <c r="G55" s="59"/>
      <c r="H55" s="59" t="s">
        <v>33</v>
      </c>
    </row>
    <row r="56">
      <c r="A56" s="59">
        <v>3.0</v>
      </c>
      <c r="B56" s="59">
        <v>55.0</v>
      </c>
      <c r="C56" s="59" t="s">
        <v>29</v>
      </c>
      <c r="D56" s="60">
        <v>46198.0</v>
      </c>
      <c r="E56" s="59" t="s">
        <v>36</v>
      </c>
      <c r="F56" s="59"/>
      <c r="G56" s="59"/>
      <c r="H56" s="59" t="s">
        <v>30</v>
      </c>
    </row>
    <row r="57">
      <c r="A57" s="59">
        <v>3.0</v>
      </c>
      <c r="B57" s="59">
        <v>56.0</v>
      </c>
      <c r="C57" s="59" t="s">
        <v>29</v>
      </c>
      <c r="D57" s="60">
        <v>46198.0</v>
      </c>
      <c r="E57" s="59" t="s">
        <v>31</v>
      </c>
      <c r="F57" s="59"/>
      <c r="G57" s="59"/>
      <c r="H57" s="59" t="s">
        <v>35</v>
      </c>
    </row>
    <row r="58">
      <c r="A58" s="59">
        <v>3.0</v>
      </c>
      <c r="B58" s="59">
        <v>57.0</v>
      </c>
      <c r="C58" s="59" t="s">
        <v>41</v>
      </c>
      <c r="D58" s="60">
        <v>46198.0</v>
      </c>
      <c r="E58" s="59" t="s">
        <v>43</v>
      </c>
      <c r="F58" s="59"/>
      <c r="G58" s="59"/>
      <c r="H58" s="59" t="s">
        <v>44</v>
      </c>
    </row>
    <row r="59">
      <c r="A59" s="59">
        <v>3.0</v>
      </c>
      <c r="B59" s="59">
        <v>58.0</v>
      </c>
      <c r="C59" s="59" t="s">
        <v>41</v>
      </c>
      <c r="D59" s="60">
        <v>46198.0</v>
      </c>
      <c r="E59" s="59" t="s">
        <v>45</v>
      </c>
      <c r="F59" s="59"/>
      <c r="G59" s="59"/>
      <c r="H59" s="59" t="s">
        <v>42</v>
      </c>
    </row>
    <row r="60">
      <c r="A60" s="59">
        <v>3.0</v>
      </c>
      <c r="B60" s="59">
        <v>59.0</v>
      </c>
      <c r="C60" s="59" t="s">
        <v>46</v>
      </c>
      <c r="D60" s="60">
        <v>46198.0</v>
      </c>
      <c r="E60" s="59" t="s">
        <v>48</v>
      </c>
      <c r="F60" s="59"/>
      <c r="G60" s="59"/>
      <c r="H60" s="59" t="s">
        <v>49</v>
      </c>
    </row>
    <row r="61">
      <c r="A61" s="59">
        <v>3.0</v>
      </c>
      <c r="B61" s="59">
        <v>60.0</v>
      </c>
      <c r="C61" s="59" t="s">
        <v>46</v>
      </c>
      <c r="D61" s="60">
        <v>46198.0</v>
      </c>
      <c r="E61" s="59" t="s">
        <v>50</v>
      </c>
      <c r="F61" s="59"/>
      <c r="G61" s="59"/>
      <c r="H61" s="59" t="s">
        <v>47</v>
      </c>
    </row>
    <row r="62">
      <c r="A62" s="59">
        <v>3.0</v>
      </c>
      <c r="B62" s="59">
        <v>61.0</v>
      </c>
      <c r="C62" s="59" t="s">
        <v>51</v>
      </c>
      <c r="D62" s="60">
        <v>46199.0</v>
      </c>
      <c r="E62" s="59" t="s">
        <v>53</v>
      </c>
      <c r="F62" s="59"/>
      <c r="G62" s="59"/>
      <c r="H62" s="59" t="s">
        <v>54</v>
      </c>
    </row>
    <row r="63">
      <c r="A63" s="59">
        <v>3.0</v>
      </c>
      <c r="B63" s="59">
        <v>62.0</v>
      </c>
      <c r="C63" s="59" t="s">
        <v>51</v>
      </c>
      <c r="D63" s="60">
        <v>46199.0</v>
      </c>
      <c r="E63" s="59" t="s">
        <v>55</v>
      </c>
      <c r="F63" s="59"/>
      <c r="G63" s="59"/>
      <c r="H63" s="59" t="s">
        <v>52</v>
      </c>
    </row>
    <row r="64">
      <c r="A64" s="59">
        <v>3.0</v>
      </c>
      <c r="B64" s="59">
        <v>63.0</v>
      </c>
      <c r="C64" s="59" t="s">
        <v>56</v>
      </c>
      <c r="D64" s="60">
        <v>46199.0</v>
      </c>
      <c r="E64" s="59" t="s">
        <v>58</v>
      </c>
      <c r="F64" s="59"/>
      <c r="G64" s="59"/>
      <c r="H64" s="59" t="s">
        <v>59</v>
      </c>
    </row>
    <row r="65">
      <c r="A65" s="59">
        <v>3.0</v>
      </c>
      <c r="B65" s="59">
        <v>64.0</v>
      </c>
      <c r="C65" s="59" t="s">
        <v>56</v>
      </c>
      <c r="D65" s="60">
        <v>46199.0</v>
      </c>
      <c r="E65" s="59" t="s">
        <v>60</v>
      </c>
      <c r="F65" s="59"/>
      <c r="G65" s="59"/>
      <c r="H65" s="59" t="s">
        <v>57</v>
      </c>
    </row>
    <row r="66">
      <c r="A66" s="59">
        <v>3.0</v>
      </c>
      <c r="B66" s="59">
        <v>65.0</v>
      </c>
      <c r="C66" s="59" t="s">
        <v>61</v>
      </c>
      <c r="D66" s="60">
        <v>46199.0</v>
      </c>
      <c r="E66" s="59" t="s">
        <v>65</v>
      </c>
      <c r="F66" s="59"/>
      <c r="G66" s="59"/>
      <c r="H66" s="59" t="s">
        <v>62</v>
      </c>
    </row>
    <row r="67">
      <c r="A67" s="59">
        <v>3.0</v>
      </c>
      <c r="B67" s="59">
        <v>66.0</v>
      </c>
      <c r="C67" s="59" t="s">
        <v>61</v>
      </c>
      <c r="D67" s="60">
        <v>46199.0</v>
      </c>
      <c r="E67" s="59" t="s">
        <v>63</v>
      </c>
      <c r="F67" s="59"/>
      <c r="G67" s="59"/>
      <c r="H67" s="59" t="s">
        <v>64</v>
      </c>
    </row>
    <row r="68">
      <c r="A68" s="59">
        <v>3.0</v>
      </c>
      <c r="B68" s="59">
        <v>67.0</v>
      </c>
      <c r="C68" s="59" t="s">
        <v>66</v>
      </c>
      <c r="D68" s="60">
        <v>46200.0</v>
      </c>
      <c r="E68" s="59" t="s">
        <v>68</v>
      </c>
      <c r="F68" s="59"/>
      <c r="G68" s="59"/>
      <c r="H68" s="59" t="s">
        <v>69</v>
      </c>
    </row>
    <row r="69">
      <c r="A69" s="59">
        <v>3.0</v>
      </c>
      <c r="B69" s="59">
        <v>68.0</v>
      </c>
      <c r="C69" s="59" t="s">
        <v>66</v>
      </c>
      <c r="D69" s="60">
        <v>46200.0</v>
      </c>
      <c r="E69" s="59" t="s">
        <v>70</v>
      </c>
      <c r="F69" s="59"/>
      <c r="G69" s="59"/>
      <c r="H69" s="59" t="s">
        <v>67</v>
      </c>
    </row>
    <row r="70">
      <c r="A70" s="59">
        <v>3.0</v>
      </c>
      <c r="B70" s="59">
        <v>69.0</v>
      </c>
      <c r="C70" s="59" t="s">
        <v>71</v>
      </c>
      <c r="D70" s="60">
        <v>46200.0</v>
      </c>
      <c r="E70" s="59" t="s">
        <v>75</v>
      </c>
      <c r="F70" s="59"/>
      <c r="G70" s="59"/>
      <c r="H70" s="59" t="s">
        <v>72</v>
      </c>
    </row>
    <row r="71">
      <c r="A71" s="59">
        <v>3.0</v>
      </c>
      <c r="B71" s="59">
        <v>70.0</v>
      </c>
      <c r="C71" s="59" t="s">
        <v>71</v>
      </c>
      <c r="D71" s="60">
        <v>46200.0</v>
      </c>
      <c r="E71" s="59" t="s">
        <v>73</v>
      </c>
      <c r="F71" s="59"/>
      <c r="G71" s="59"/>
      <c r="H71" s="59" t="s">
        <v>74</v>
      </c>
    </row>
    <row r="72">
      <c r="A72" s="59">
        <v>3.0</v>
      </c>
      <c r="B72" s="59">
        <v>71.0</v>
      </c>
      <c r="C72" s="59" t="s">
        <v>76</v>
      </c>
      <c r="D72" s="60">
        <v>46200.0</v>
      </c>
      <c r="E72" s="59" t="s">
        <v>80</v>
      </c>
      <c r="F72" s="59"/>
      <c r="G72" s="59"/>
      <c r="H72" s="59" t="s">
        <v>77</v>
      </c>
    </row>
    <row r="73">
      <c r="A73" s="59">
        <v>3.0</v>
      </c>
      <c r="B73" s="59">
        <v>72.0</v>
      </c>
      <c r="C73" s="59" t="s">
        <v>76</v>
      </c>
      <c r="D73" s="60">
        <v>46200.0</v>
      </c>
      <c r="E73" s="59" t="s">
        <v>78</v>
      </c>
      <c r="F73" s="59"/>
      <c r="G73" s="59"/>
      <c r="H73" s="59" t="s">
        <v>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3" width="3.57"/>
    <col customWidth="1" min="4" max="4" width="77.14"/>
    <col customWidth="1" min="5" max="5" width="2.14"/>
    <col customWidth="1" min="6" max="9" width="14.57"/>
    <col customWidth="1" min="10" max="10" width="1.57"/>
    <col customWidth="1" min="11" max="11" width="3.57"/>
    <col customWidth="1" min="12" max="12" width="20.14"/>
    <col customWidth="1" min="13" max="26" width="8.86"/>
  </cols>
  <sheetData>
    <row r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240" t="s">
        <v>153</v>
      </c>
      <c r="C3" s="240"/>
      <c r="D3" s="241"/>
      <c r="E3" s="241"/>
      <c r="F3" s="242"/>
      <c r="G3" s="242"/>
      <c r="H3" s="242"/>
      <c r="I3" s="24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243"/>
      <c r="B5" s="244" t="s">
        <v>154</v>
      </c>
      <c r="C5" s="244"/>
      <c r="D5" s="245"/>
      <c r="E5" s="245"/>
      <c r="F5" s="245"/>
      <c r="G5" s="245"/>
      <c r="H5" s="245"/>
      <c r="I5" s="245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4"/>
      <c r="B7" s="109" t="s">
        <v>155</v>
      </c>
      <c r="C7" s="109"/>
      <c r="D7" s="54"/>
      <c r="E7" s="54"/>
      <c r="F7" s="246" t="s">
        <v>5</v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247">
        <v>1.0</v>
      </c>
      <c r="C8" s="247" t="s">
        <v>156</v>
      </c>
      <c r="D8" s="247"/>
      <c r="E8" s="54"/>
      <c r="F8" s="248">
        <v>6.0</v>
      </c>
      <c r="G8" s="54"/>
      <c r="H8" s="54"/>
      <c r="I8" s="54"/>
      <c r="J8" s="54"/>
      <c r="K8" s="54"/>
      <c r="L8" s="249" t="s">
        <v>157</v>
      </c>
      <c r="M8" s="54">
        <f t="shared" ref="M8:M10" si="1">F8*36</f>
        <v>216</v>
      </c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247">
        <v>2.0</v>
      </c>
      <c r="C9" s="247" t="s">
        <v>158</v>
      </c>
      <c r="D9" s="247"/>
      <c r="E9" s="54"/>
      <c r="F9" s="248">
        <v>3.0</v>
      </c>
      <c r="G9" s="54"/>
      <c r="H9" s="54"/>
      <c r="I9" s="54"/>
      <c r="J9" s="54"/>
      <c r="K9" s="54"/>
      <c r="L9" s="249" t="s">
        <v>157</v>
      </c>
      <c r="M9" s="54">
        <f t="shared" si="1"/>
        <v>108</v>
      </c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247">
        <v>3.0</v>
      </c>
      <c r="C10" s="247" t="s">
        <v>159</v>
      </c>
      <c r="D10" s="247"/>
      <c r="E10" s="54"/>
      <c r="F10" s="248">
        <v>0.0</v>
      </c>
      <c r="G10" s="54"/>
      <c r="H10" s="54"/>
      <c r="I10" s="54"/>
      <c r="J10" s="54"/>
      <c r="K10" s="54"/>
      <c r="L10" s="249" t="s">
        <v>157</v>
      </c>
      <c r="M10" s="54">
        <f t="shared" si="1"/>
        <v>0</v>
      </c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109" t="s">
        <v>155</v>
      </c>
      <c r="C12" s="109"/>
      <c r="D12" s="54"/>
      <c r="E12" s="54"/>
      <c r="F12" s="246" t="s">
        <v>5</v>
      </c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250"/>
      <c r="B13" s="247">
        <v>1.0</v>
      </c>
      <c r="C13" s="247" t="s">
        <v>160</v>
      </c>
      <c r="D13" s="247"/>
      <c r="E13" s="54"/>
      <c r="F13" s="248">
        <v>20.0</v>
      </c>
      <c r="G13" s="251"/>
      <c r="H13" s="54"/>
      <c r="I13" s="54"/>
      <c r="J13" s="54"/>
      <c r="K13" s="54"/>
      <c r="L13" s="249" t="s">
        <v>157</v>
      </c>
      <c r="M13" s="250">
        <f t="shared" ref="M13:M16" si="2">F13*6</f>
        <v>120</v>
      </c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</row>
    <row r="14">
      <c r="A14" s="54"/>
      <c r="B14" s="247">
        <v>2.0</v>
      </c>
      <c r="C14" s="247" t="s">
        <v>161</v>
      </c>
      <c r="D14" s="247"/>
      <c r="E14" s="54"/>
      <c r="F14" s="248">
        <v>12.0</v>
      </c>
      <c r="G14" s="251"/>
      <c r="H14" s="54"/>
      <c r="I14" s="54"/>
      <c r="J14" s="54"/>
      <c r="K14" s="54"/>
      <c r="L14" s="249" t="s">
        <v>157</v>
      </c>
      <c r="M14" s="250">
        <f t="shared" si="2"/>
        <v>72</v>
      </c>
      <c r="N14" s="54"/>
      <c r="O14" s="252" t="s">
        <v>162</v>
      </c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247">
        <v>3.0</v>
      </c>
      <c r="C15" s="54" t="s">
        <v>163</v>
      </c>
      <c r="D15" s="247"/>
      <c r="E15" s="54"/>
      <c r="F15" s="248">
        <v>0.0</v>
      </c>
      <c r="G15" s="251"/>
      <c r="H15" s="54"/>
      <c r="I15" s="54"/>
      <c r="J15" s="54"/>
      <c r="K15" s="54"/>
      <c r="L15" s="249" t="s">
        <v>157</v>
      </c>
      <c r="M15" s="250">
        <f t="shared" si="2"/>
        <v>0</v>
      </c>
      <c r="N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247">
        <v>4.0</v>
      </c>
      <c r="C16" s="247" t="s">
        <v>164</v>
      </c>
      <c r="D16" s="247"/>
      <c r="E16" s="54"/>
      <c r="F16" s="253" t="s">
        <v>165</v>
      </c>
      <c r="G16" s="251"/>
      <c r="H16" s="54"/>
      <c r="I16" s="54"/>
      <c r="J16" s="54"/>
      <c r="K16" s="54"/>
      <c r="L16" s="249" t="s">
        <v>157</v>
      </c>
      <c r="M16" s="250">
        <f t="shared" si="2"/>
        <v>48</v>
      </c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243"/>
      <c r="B17" s="54"/>
      <c r="C17" s="54"/>
      <c r="D17" s="54"/>
      <c r="E17" s="54"/>
      <c r="F17" s="54"/>
      <c r="G17" s="54"/>
      <c r="H17" s="54"/>
      <c r="I17" s="54"/>
      <c r="J17" s="243"/>
      <c r="K17" s="243"/>
      <c r="L17" s="54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250"/>
      <c r="B19" s="254" t="s">
        <v>166</v>
      </c>
      <c r="C19" s="255"/>
      <c r="D19" s="255"/>
      <c r="E19" s="250"/>
      <c r="F19" s="250"/>
      <c r="G19" s="250"/>
      <c r="H19" s="250"/>
      <c r="I19" s="250"/>
      <c r="J19" s="54"/>
      <c r="K19" s="54"/>
      <c r="L19" s="54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</row>
    <row r="20">
      <c r="A20" s="16" t="str">
        <f>IF(#REF!="Actual matches",1,0)</f>
        <v>#REF!</v>
      </c>
      <c r="B20" s="256" t="s">
        <v>167</v>
      </c>
      <c r="C20" s="256"/>
      <c r="D20" s="247"/>
      <c r="E20" s="54"/>
      <c r="F20" s="246" t="s">
        <v>168</v>
      </c>
      <c r="G20" s="246" t="s">
        <v>169</v>
      </c>
      <c r="H20" s="246" t="s">
        <v>170</v>
      </c>
      <c r="I20" s="246" t="s">
        <v>171</v>
      </c>
      <c r="J20" s="250"/>
      <c r="K20" s="250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>
      <c r="A21" s="16" t="str">
        <f>IF(#REF!="Yes",1,0)</f>
        <v>#REF!</v>
      </c>
      <c r="B21" s="247">
        <v>1.0</v>
      </c>
      <c r="C21" s="247" t="s">
        <v>156</v>
      </c>
      <c r="D21" s="247"/>
      <c r="E21" s="54"/>
      <c r="F21" s="248">
        <v>12.0</v>
      </c>
      <c r="G21" s="248">
        <v>24.0</v>
      </c>
      <c r="H21" s="248">
        <v>48.0</v>
      </c>
      <c r="I21" s="248">
        <v>96.0</v>
      </c>
      <c r="J21" s="54"/>
      <c r="K21" s="54"/>
      <c r="L21" s="243" t="s">
        <v>172</v>
      </c>
      <c r="M21" s="243"/>
      <c r="N21" s="243"/>
      <c r="O21" s="243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54"/>
      <c r="B22" s="247">
        <v>2.0</v>
      </c>
      <c r="C22" s="247" t="s">
        <v>173</v>
      </c>
      <c r="D22" s="247"/>
      <c r="E22" s="54"/>
      <c r="F22" s="248">
        <v>8.0</v>
      </c>
      <c r="G22" s="248">
        <v>16.0</v>
      </c>
      <c r="H22" s="248">
        <v>32.0</v>
      </c>
      <c r="I22" s="248">
        <v>64.0</v>
      </c>
      <c r="J22" s="54"/>
      <c r="K22" s="54"/>
      <c r="L22" s="243" t="s">
        <v>174</v>
      </c>
      <c r="M22" s="243"/>
      <c r="N22" s="243"/>
      <c r="O22" s="243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250"/>
      <c r="B23" s="247">
        <v>3.0</v>
      </c>
      <c r="C23" s="247" t="s">
        <v>175</v>
      </c>
      <c r="D23" s="247"/>
      <c r="E23" s="54"/>
      <c r="F23" s="248">
        <v>6.0</v>
      </c>
      <c r="G23" s="248">
        <v>12.0</v>
      </c>
      <c r="H23" s="248">
        <v>24.0</v>
      </c>
      <c r="I23" s="248">
        <v>48.0</v>
      </c>
      <c r="J23" s="54"/>
      <c r="K23" s="54"/>
      <c r="L23" s="257" t="s">
        <v>176</v>
      </c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0"/>
      <c r="X23" s="250"/>
      <c r="Y23" s="250"/>
      <c r="Z23" s="250"/>
    </row>
    <row r="24" ht="15.75" customHeight="1">
      <c r="A24" s="250"/>
      <c r="B24" s="247">
        <v>4.0</v>
      </c>
      <c r="C24" s="247" t="s">
        <v>177</v>
      </c>
      <c r="D24" s="247"/>
      <c r="E24" s="54"/>
      <c r="F24" s="248">
        <v>1.0</v>
      </c>
      <c r="G24" s="248">
        <v>1.0</v>
      </c>
      <c r="H24" s="248">
        <v>1.0</v>
      </c>
      <c r="I24" s="248">
        <v>1.0</v>
      </c>
      <c r="J24" s="54"/>
      <c r="K24" s="54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0"/>
      <c r="X24" s="250"/>
      <c r="Y24" s="250"/>
      <c r="Z24" s="250"/>
    </row>
    <row r="25" ht="15.75" customHeight="1">
      <c r="A25" s="54"/>
      <c r="B25" s="54"/>
      <c r="C25" s="54"/>
      <c r="D25" s="54"/>
      <c r="E25" s="54"/>
      <c r="F25" s="109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54"/>
      <c r="B26" s="109" t="s">
        <v>155</v>
      </c>
      <c r="C26" s="109"/>
      <c r="D26" s="54"/>
      <c r="E26" s="54"/>
      <c r="F26" s="246" t="s">
        <v>5</v>
      </c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54"/>
      <c r="B27" s="247">
        <v>1.0</v>
      </c>
      <c r="C27" s="247" t="s">
        <v>178</v>
      </c>
      <c r="D27" s="247"/>
      <c r="E27" s="54"/>
      <c r="F27" s="248">
        <v>50.0</v>
      </c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54"/>
      <c r="B28" s="250"/>
      <c r="C28" s="250"/>
      <c r="D28" s="250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75" customHeight="1">
      <c r="A42" s="54"/>
      <c r="B42" s="54"/>
      <c r="C42" s="54"/>
      <c r="D42" s="54"/>
      <c r="E42" s="54"/>
      <c r="F42" s="54"/>
      <c r="G42" s="243"/>
      <c r="H42" s="243"/>
      <c r="I42" s="243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243"/>
      <c r="K43" s="243"/>
      <c r="L43" s="243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>
      <c r="A49" s="54"/>
      <c r="B49" s="258"/>
      <c r="C49" s="258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5.75" customHeight="1">
      <c r="A50" s="243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3"/>
      <c r="Z50" s="243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1">
    <mergeCell ref="O14:Q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2021-06-04T08:45:16Z</dcterms:created>
  <dc:creator>Aboud</dc:creator>
</cp:coreProperties>
</file>